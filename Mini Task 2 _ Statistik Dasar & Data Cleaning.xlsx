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ab5f11c3ca369234/Perkuliahan/SEMESTER 4/"/>
    </mc:Choice>
  </mc:AlternateContent>
  <xr:revisionPtr revIDLastSave="5" documentId="8_{D7C9E52F-4F38-4BCD-AE37-18103F20F489}" xr6:coauthVersionLast="47" xr6:coauthVersionMax="47" xr10:uidLastSave="{ABB97D91-E572-4E61-9ED7-CDD8C00D4197}"/>
  <bookViews>
    <workbookView xWindow="-110" yWindow="-110" windowWidth="19420" windowHeight="10300" activeTab="1" xr2:uid="{BD05943E-4AA9-4340-9485-8EE8DFD911D6}"/>
  </bookViews>
  <sheets>
    <sheet name="kdrama_DATASET" sheetId="1" r:id="rId1"/>
    <sheet name="Processed_Data" sheetId="2" r:id="rId2"/>
  </sheets>
  <calcPr calcId="191029"/>
</workbook>
</file>

<file path=xl/calcChain.xml><?xml version="1.0" encoding="utf-8"?>
<calcChain xmlns="http://schemas.openxmlformats.org/spreadsheetml/2006/main">
  <c r="C23" i="2" l="1"/>
  <c r="C22" i="2"/>
  <c r="D20" i="2"/>
  <c r="C20" i="2"/>
  <c r="D19" i="2"/>
  <c r="C19" i="2"/>
  <c r="D14" i="2"/>
  <c r="C14" i="2"/>
  <c r="D16" i="2"/>
  <c r="D17" i="2" s="1"/>
  <c r="D15" i="2"/>
  <c r="C16" i="2"/>
  <c r="C15" i="2"/>
  <c r="C10" i="2"/>
  <c r="D13" i="2"/>
  <c r="C13" i="2"/>
  <c r="D11" i="2"/>
  <c r="C11" i="2"/>
  <c r="D10" i="2"/>
  <c r="C6" i="2"/>
  <c r="D8" i="2"/>
  <c r="C8" i="2"/>
  <c r="D7" i="2"/>
  <c r="C7" i="2"/>
  <c r="D6" i="2"/>
  <c r="D12" i="2" l="1"/>
  <c r="C17" i="2"/>
  <c r="C12" i="2"/>
</calcChain>
</file>

<file path=xl/sharedStrings.xml><?xml version="1.0" encoding="utf-8"?>
<sst xmlns="http://schemas.openxmlformats.org/spreadsheetml/2006/main" count="4914" uniqueCount="2191">
  <si>
    <t>Rank</t>
  </si>
  <si>
    <t>Title</t>
  </si>
  <si>
    <t>Year of release</t>
  </si>
  <si>
    <t>Number of Episodes</t>
  </si>
  <si>
    <t>Rating</t>
  </si>
  <si>
    <t>Description</t>
  </si>
  <si>
    <t>Genre</t>
  </si>
  <si>
    <t>Tags</t>
  </si>
  <si>
    <t>Actors</t>
  </si>
  <si>
    <t>#1</t>
  </si>
  <si>
    <t>Move to Heaven</t>
  </si>
  <si>
    <t>9.2</t>
  </si>
  <si>
    <t>Geu Roo is a young autistic man. He works for his fatherâ€™s business â€œMove To Heaven.â€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Rooâ€™s guardian. They run â€œMove To Heavenâ€ together.</t>
  </si>
  <si>
    <t xml:space="preserve">Life,  Drama,  Family </t>
  </si>
  <si>
    <t>Autism, Uncle-Nephew Relationship, Death, Savant Syndrome, Mourning, Tearjerker, Father-Son Relationship, Life Lesson, Ex-convict, Cleaning And Organizing</t>
  </si>
  <si>
    <t>Lee Je Hoon, Tang Jun Sang, Hong Seung Hee, Jung Suk Yong, Jung Young Joo, Lee Moon Shik</t>
  </si>
  <si>
    <t>#2</t>
  </si>
  <si>
    <t>Twinkling Watermelon</t>
  </si>
  <si>
    <t>In 2023, high school student Eun Gyeol, a CODA with a passion for music, leads a double life as a model pupil by day and a guitarist by night. When he discovers a mysterious music store, he's unexpectedly transported back to 1995, where he meets his father, Ha Yi Chan, as a high schooler. Yi Chan doesn't recognize him and is infatuated with a cellist, Se Kyeong, not Eun Gyeol's mother, Cheong Ah. To set things right, Eun Gyeol joins a band led by Yi Chan, hoping to reunite his future parents and return to the present.</t>
  </si>
  <si>
    <t>Romance, Youth, Drama, Fantasy</t>
  </si>
  <si>
    <t>Time Travel, Child From The Future, Sign Language, Father-Son Relationship, Deafness, 1990s, Music, Coming Of Age, Friendship, Comedy</t>
  </si>
  <si>
    <t>Ha Eun-Gyeol, Ha Yi-Chan, Choi Se-Kyung, Yoon Chung-A</t>
  </si>
  <si>
    <t>#3</t>
  </si>
  <si>
    <t>Moving</t>
  </si>
  <si>
    <t>9.1</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</si>
  <si>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t>
  </si>
  <si>
    <t>Action, Thriller, Mystery, Supernatural</t>
  </si>
  <si>
    <t>Graphic Violence, Supernatural Power, Multiple Mains, Romance, Family Relationship, Past And Present, Mother-Son Relationship, Father-Daughter Relationship, Suspense, 1990s</t>
  </si>
  <si>
    <t>Ryu Seung Ryong, Han Hyo Joo, Zo In Sung</t>
  </si>
  <si>
    <t>#4</t>
  </si>
  <si>
    <t xml:space="preserve">The Trauma Code: Heroes on Call </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</si>
  <si>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Hyeokâ€™s first pupil, nurse Cheon Jang Mi, and anesthesiologist resident Park Gyeong Won. Under Baek Gang Hyeok's leadership, the team transforms from a symbolic unit into one that actively saves lives.</t>
  </si>
  <si>
    <t>Action, Comedy, Drama, Medical</t>
  </si>
  <si>
    <t xml:space="preserve">Surgeon Male Lead, Hospital Setting, Mentor-Mentee Relationship, Competent Male Lead, Rescue Team, Teamwork, Hardworking Male Lead, Co-workers' Relationship, Doctor Male Lead, Workplace Setting </t>
  </si>
  <si>
    <t>Ju Ji Hoon, Choo Young Woo, Ha Young, Yoon Gyung Ho, Jeong Jae Kwang</t>
  </si>
  <si>
    <t>#5</t>
  </si>
  <si>
    <t>Flower of Evil</t>
  </si>
  <si>
    <t xml:space="preserve">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Sungâ€™s behavior and begins to wonder if he could possibly be hiding something from her. </t>
  </si>
  <si>
    <t xml:space="preserve">Thriller,  Romance,  Crime,  Melodrama </t>
  </si>
  <si>
    <t>Married Couple, Deception, Suspense, Family Secret, Hidden Personality, Smart Female Lead, Antisocial Personality Disorder, Investigation, Serial Killer, Psychopath</t>
  </si>
  <si>
    <t>Lee Joon Gi, Moon Chae Won, Jang Hee Jin, Seo Hyun Woo, Nam Ki Ae, Son Jong Hak</t>
  </si>
  <si>
    <t>#6</t>
  </si>
  <si>
    <t>Hospital Playlist</t>
  </si>
  <si>
    <t>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t>
  </si>
  <si>
    <t xml:space="preserve">Friendship,  Romance,  Life,  Medical </t>
  </si>
  <si>
    <t>Strong Friendship, Multiple Mains, Best Friends, Hospital, Slow Romance, Strong Female Lead, Multiple Couples, Slight Romance, Nice Male Lead, Bromance</t>
  </si>
  <si>
    <t>Jo Jung Suk, Yoo Yeon Seok, Jung Kyung Ho, Kim Dae Myung, Jeon Mi Do, Shin Hyun Bin</t>
  </si>
  <si>
    <t>#7</t>
  </si>
  <si>
    <t>Hospital Playlist 2</t>
  </si>
  <si>
    <t>Everyday is extraordinary for five doctors and their patients inside a hospital, where birth, death and everything in between coexist.</t>
  </si>
  <si>
    <t>Workplace, Strong Friendship, Best Friends, Multiple Mains, Band, Music, Strong Female Lead, Multiple Couples, Comedy, Hospital</t>
  </si>
  <si>
    <t>#8</t>
  </si>
  <si>
    <t>My Mister</t>
  </si>
  <si>
    <t>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t>
  </si>
  <si>
    <t xml:space="preserve">Psychological,  Life,  Drama,  Family </t>
  </si>
  <si>
    <t>Age Gap, Nice Male Lead, Strong Female Lead, Hardship, Smart Female Lead, Healing, Depression, Poor Female Lead, Workplace, Infidelity</t>
  </si>
  <si>
    <t>Lee Sun Kyun, IU, Park Ho San, Song Sae Byuk, Lee Ji Ah, Kim Young Min</t>
  </si>
  <si>
    <t>#9</t>
  </si>
  <si>
    <t>Reply 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</si>
  <si>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Ð ÑƒÑÑÐºÐ¸Ð¹ Î•Î»Î»Î·Î½Î¹ÎºÎ¬ Italiano</t>
  </si>
  <si>
    <t xml:space="preserve">Comedy,  Romance,  Youth,  Family </t>
  </si>
  <si>
    <t>Neighbors, Slice Of Life, Childhood Friends, Multiple Couples, Nostalgia, Poor Family, Love Triangle, Best Friends, Heartfelt, High School</t>
  </si>
  <si>
    <t>Lee Hye Ri, Go Kyung Pyo, Ryu Joon Yeol, Park Bo Gum, Lee Dong Hwi, Sung Dong Il</t>
  </si>
  <si>
    <t>#10</t>
  </si>
  <si>
    <t>Weak Hero Class 1</t>
  </si>
  <si>
    <t>Yeon Shi Eun is a model student who ranks at the top of his high school. Physically, Yeon Shi Eun appears weak, but by using his wits and psychology, he fights against the violence that takes place inside and outside of his school.</t>
  </si>
  <si>
    <t>Action, Youth, Drama</t>
  </si>
  <si>
    <t>Bromance, Smart Male Lead, Violence, School Bullying, Adapted From A Webtoon, Delinquent Supporting Character, Quiet Male Lead, Skilled Fighter, Hidden Past, Strong Male Lead</t>
  </si>
  <si>
    <t>Park Ji Hoon, Choi Hyun Wook, Hong Kyung, Kim Su Gyeom, Lee Yeon, Shin Seung Ho</t>
  </si>
  <si>
    <t>#11</t>
  </si>
  <si>
    <t>Prison Playbook</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</si>
  <si>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t>
  </si>
  <si>
    <t xml:space="preserve">Comedy,  Crime,  Life,  Drama </t>
  </si>
  <si>
    <t>Prison, Bromance, Wrongfully Accused, Life Lesson, Slight Romance, Strong Male Lead, Character Development, Baseball, Gangster, Murder</t>
  </si>
  <si>
    <t>Park Hae Soo, Jung Kyung Ho, Krystal Jung, Im Hwa Young, Ye Soo Jung, Kim Kyung Nam</t>
  </si>
  <si>
    <t>#12</t>
  </si>
  <si>
    <t>Lovely Runner</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</si>
  <si>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t>
  </si>
  <si>
    <t>Music, Comedy, Romance, Fantasy</t>
  </si>
  <si>
    <t>Butterfly Effect, Second Chance, Time Travel, Passionate Male Lead, Time Altering, Famous Male Lead, Love At First Sight, Determined Female Lead, Age Gap [Real Life], Past And Present</t>
  </si>
  <si>
    <t>Lee Je Hoon, Tang Jun Sang, Hong Seung Hee, Jung Suk Yong</t>
  </si>
  <si>
    <t>#13</t>
  </si>
  <si>
    <t>Alchemy of Souls</t>
  </si>
  <si>
    <t>Set in a fictional country called Daeho that does not exist in history or on maps, it is about the love and growth of young mages as they overcome their twisted fates due to a forbidden magic spell known as the "alchemy of souls", which allows souls to switch bodies. It follows the story of an elite assassin named Naksu, whose soul is accidentally trapped inside the weak body of Mu Deokâ€”Jang Uk's servant from a powerful and noble mage family in the country. The young master of the Jang Family, Jang Uk, holds a dark secret about his scandalous birth. He wants the formidable assassin to help change his destiny.</t>
  </si>
  <si>
    <t xml:space="preserve">Action, Historical, Romance, Fantasy </t>
  </si>
  <si>
    <t>Magical Power, Supernatural, Transmigration, Strong Female Lead, Kind Male Lead, Multiple Mains, Master/Disciple Relationship, Master/Apprentice, Hidden Identity, Body Swap</t>
  </si>
  <si>
    <t>Lee Jae Wook, Jung So Min, Hwang Hyun Min, Shin Seung Ho, Yoo Joon Sang, Oh Na Ra</t>
  </si>
  <si>
    <t>#14</t>
  </si>
  <si>
    <t>Study Group</t>
  </si>
  <si>
    <t>It follows the life of student Yun Ga Min, who wants to be good at studying but is only good at fighting, as he forms a study group at the worst school on earth and tells a fierce story about college entrance exams.</t>
  </si>
  <si>
    <t>Action, Thriller, Comedy, Youth</t>
  </si>
  <si>
    <t>Student Male Lead, School Setting, High School, Adapted From A Webtoon, Tsundere Male Lead, Stabbing, Violent Friend, Student Female Lead, Violent Female Lead, Classmates' Relationship</t>
  </si>
  <si>
    <t>Hwang Min Hyun, Han Ji Eun, Cha Woo Min, Lee Jong Hyun, Shin Su Hyun, Yoon Sang Jeong, Gong Do Yu</t>
  </si>
  <si>
    <t>#15</t>
  </si>
  <si>
    <t>Extraordinary Attorney Woo</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</si>
  <si>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t>
  </si>
  <si>
    <t xml:space="preserve">Law, Romance, Life, Drama </t>
  </si>
  <si>
    <t xml:space="preserve"> Autistic Female Lead, Autism, Attorney Female Lead, Smart Female Lead, Law Firm, Workplace Setting, Nice Male Lead, Father-Daughter Relationship, Courtroom Setting, Single Mother/Father Supporting Character</t>
  </si>
  <si>
    <t>Park Eun Bin, Kang Tae Oh, Kang Ki Young, Jeon Bae Soo, Baek Ji Won, Jin Kyung</t>
  </si>
  <si>
    <t>#16</t>
  </si>
  <si>
    <t>Mr. Queen</t>
  </si>
  <si>
    <t>Jang Bong Hwan is a South Korean chef who has risen up the ranks to cook for the countryâ€™s top politicians in the Blue Houseâ€™s presidential residences. After a serious accident, he finds himself in the body of the young queen, Kim So Yong, when whisked away to an era deep in Koreaâ€™s past.</t>
  </si>
  <si>
    <t xml:space="preserve">Historical,  Mystery,  Comedy,  Romance </t>
  </si>
  <si>
    <t>Smart Male Lead, Transmigration, Calm Male Lead, Joseon Dynasty, Time Travel, Sassy Female Lead, Body Swap, Gender Swap, Eccentric Female Lead, Power Struggle</t>
  </si>
  <si>
    <t>Shin Hye Sun, Kim Jung Hyun, Bae Jong Ok, Kim Tae Woo, Jo Yun Hee, Seol In Ah</t>
  </si>
  <si>
    <t>#17</t>
  </si>
  <si>
    <t>Mother</t>
  </si>
  <si>
    <t>Realizing one of her students is being abused, school teacher and bird researcher Soo Jin impulsively kidnaps the girl and acts as a substitute mother in an attempt to take care of her.</t>
  </si>
  <si>
    <t xml:space="preserve">Thriller,  Mystery,  Psychological,  Melodrama </t>
  </si>
  <si>
    <t>Mother-Daughter Relationship, Independent Female Lead, Orphan Female Lead, Smart Female Lead, Child Abuse, Adoption, Strong Female Lead, Motherhood, Psychopath, Cohabitation</t>
  </si>
  <si>
    <t>Lee Bo Young, Heo Yool, Lee Hye Young, Go Sung Hee, Lee Jae Yoon, Go Bo Gyeol</t>
  </si>
  <si>
    <t>#18</t>
  </si>
  <si>
    <t>It's Okay to Not Be Okay</t>
  </si>
  <si>
    <t>Moon Gang Tae is a community health worker at a psychiatric ward who was blessed with everything including a great body, smarts, ability to sympathize with others, patience, ability to react quickly, stamina, and more. Meanwhile, Ko Moon Young is a popular writer of childrenâ€™s literature who, due to suffering from an antisocial personality disorder, seems extremely selfish, arrogant, and rude.</t>
  </si>
  <si>
    <t xml:space="preserve">Psychological,  Comedy,  Romance,  Drama </t>
  </si>
  <si>
    <t>Sibling Relationship, Melodrama, Mental Health, Independent Female Lead, Emotionally Wounded, Successful Female Lead, Healing, Caregiver, Childhood Connection, Psychiatry</t>
  </si>
  <si>
    <t>Kim Soo Hyun, Seo Yea Ji, Oh Jung Se, Park Gyu Young, Jang Young Nam, Kim Chang Wan</t>
  </si>
  <si>
    <t>#19</t>
  </si>
  <si>
    <t>Crash Landing on You</t>
  </si>
  <si>
    <t>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t>
  </si>
  <si>
    <t xml:space="preserve">Military,  Comedy,  Romance,  Political </t>
  </si>
  <si>
    <t>North And South Korea, Star Crossed Lovers, Lovers From Different Countries, Strong Male Lead, Army Officer, Rich Female Lead, North Korean, Soldier, Fate, Nice Male Lead</t>
  </si>
  <si>
    <t>Hyun Bin, Son Ye Jin, Seo Ji Hye, Kim Jung Hyun, Yang Kyung Won, Lee Shin Young</t>
  </si>
  <si>
    <t>#20</t>
  </si>
  <si>
    <t>Vincenzo</t>
  </si>
  <si>
    <t>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t>
  </si>
  <si>
    <t xml:space="preserve">Comedy,  Law,  Crime,  Drama </t>
  </si>
  <si>
    <t>Mafia, Revenge, Smart Male Lead, Eccentric Female Lead, Injustice, Charming Male Lead, Bromance, Father-Daughter Relationship, Badass Male Lead, Smart Female Lead</t>
  </si>
  <si>
    <t>Song Joong Ki, Jeon Yeo Been, Ok Taec Yeon, Kim Yeo Jin, Jo Han Chul, Kwak Dong Yeon</t>
  </si>
  <si>
    <t>#21</t>
  </si>
  <si>
    <t>Navillera</t>
  </si>
  <si>
    <t>A 70-year-old with a dream and a 23-year-old with a gift lift each other out of harsh realities and rise to the challenge of becoming ballerinos.</t>
  </si>
  <si>
    <t xml:space="preserve">Friendship,  Life,  Drama,  Family </t>
  </si>
  <si>
    <t>Ballet, Dream, Life Lesson, Old-Young Generation, Unusual Friendship, Ballet Dancer, Personal Growth, Adapted From A Webtoon, Father-Son Relationship, Second Chance</t>
  </si>
  <si>
    <t>Park In Hwan, Song Kang, Na Moon Hee, Hong Seung Hee, Kim Tae Hoon, Yoon  Ji Hye</t>
  </si>
  <si>
    <t>#22</t>
  </si>
  <si>
    <t>Signal</t>
  </si>
  <si>
    <t xml:space="preserve">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t>
  </si>
  <si>
    <t xml:space="preserve">Thriller,  Mystery,  Sci-Fi </t>
  </si>
  <si>
    <t>Different Timelines, Hwaseong Serial Murders, Murder, Criminal Profiler, Serial Killer, Tragic Past, Smart Female Lead, Corruption, Time Altering, Kidnapping</t>
  </si>
  <si>
    <t>Lee Je Hoon, Kim Hye Soo, Jo Jin Woong, Kim Won Hae, Lee Yoo Joon, Jang Hyun Sung</t>
  </si>
  <si>
    <t>#23</t>
  </si>
  <si>
    <t>Mr. Sunshine</t>
  </si>
  <si>
    <t>8.9</t>
  </si>
  <si>
    <t>Mr. Sunshine centers on a young boy born into a house servant's family and travels to the United States during the 1871 Shinmiyangyo (U.S. expedition to Korea). He returns to his homeland later as a U.S. marine officer. He meets and falls in love with an aristocratâ€™s daughter. At the same time, he discovers a plot by foreign forces to colonize Korea.  Edit Translation  English í•œêµ­ì–´ ä¸­æ–‡(ç®€ä½“) Ð ÑƒÑÑÐºÐ¸Ð¹</t>
  </si>
  <si>
    <t xml:space="preserve">Military,  Historical,  Romance,  Melodrama </t>
  </si>
  <si>
    <t>Independent Female Lead, Strong Male Lead, Strong Female Lead, Smart Male Lead, Bromance, Soldier, Foreigner, Rebellion, Japanese Colonial Rule, Sismance</t>
  </si>
  <si>
    <t>Lee Byung Hun, Kim Tae Ri, Kim Min Jung, Yoo Yeon Seok, Byun Yo Han, Kim Gab Soo</t>
  </si>
  <si>
    <t>#24</t>
  </si>
  <si>
    <t>Happiness</t>
  </si>
  <si>
    <t>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t>
  </si>
  <si>
    <t xml:space="preserve">Action,  Thriller,  Drama,  Fantasy </t>
  </si>
  <si>
    <t>Disease, Strong Female Lead, Survival, Virus, Fake Marriage, Zombies, Discrimination, Slow Burn Romance, Infectious Disease, Illness</t>
  </si>
  <si>
    <t>Han Hyo Joo, Park Hyung Sik, Jo  Woo Jin, Lee Joon Hyuk, Park Joo Hee, Baek Hyun Jin</t>
  </si>
  <si>
    <t>#25</t>
  </si>
  <si>
    <t>Kingdom: Season 2</t>
  </si>
  <si>
    <t xml:space="preserve">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t>
  </si>
  <si>
    <t xml:space="preserve">Thriller,  Historical,  Horror,  Supernatural </t>
  </si>
  <si>
    <t>Zombies, Corruption, Strong Male Lead, Gore, Strong Female Lead, Power Struggle, Smart Female Lead, Death, Palace Politics, Greed</t>
  </si>
  <si>
    <t>Joo Ji Hoon, Bae Doo Na, Kim Sung Gyu, Ryu Seung Ryong, Kim  Sang Ho, Jun Suk Ho</t>
  </si>
  <si>
    <t>#26</t>
  </si>
  <si>
    <t>The Good Bad Mother</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</si>
  <si>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</si>
  <si>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</si>
  <si>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</si>
  <si>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t>
  </si>
  <si>
    <t>#27</t>
  </si>
  <si>
    <t>The Glory</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</si>
  <si>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t>
  </si>
  <si>
    <t>Thriller, Drama, Melodrama</t>
  </si>
  <si>
    <t xml:space="preserve">Revenge, School Bullying, School Violence, Sexual Content, Social Issues, Doctor Male Lead, Time Skip, Antiheroine Female Lead, Nonlinear Narrative, Teacher Female Lead </t>
  </si>
  <si>
    <t>Song Hye Kyo, Lee Do Hyun, Im Ji Yeon, Yeom Hye Ran, Park Sung Hoon, Jung Sung Il</t>
  </si>
  <si>
    <t>#28</t>
  </si>
  <si>
    <t>SKY Castle</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</si>
  <si>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t>
  </si>
  <si>
    <t xml:space="preserve">Mystery,  Psychological,  Drama,  Family </t>
  </si>
  <si>
    <t>Multiple Mains, Social Commentary, Sibling, Medical, Social Satire, Female Centered Plot, Satire, Hospital, Mother-Daughter Relationship, Death</t>
  </si>
  <si>
    <t>Yeom Jung Ah, Lee Tae Ran, Yoon Se Ah, Oh Na Ra, Kim Seo Hyung, Jung Joon Ho</t>
  </si>
  <si>
    <t>#29</t>
  </si>
  <si>
    <t>Tomorrow</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</si>
  <si>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t>
  </si>
  <si>
    <t xml:space="preserve">Action, Thriller, Drama, Fantasy </t>
  </si>
  <si>
    <t>Grim Reaper Female Lead, Grim Reaper Male Lead, Underworld, Attempted Suicide, Death, Suicide, Afterlife, Suicide Prevention, Coma, Team Leader Female Lead</t>
  </si>
  <si>
    <t>Kim Hee Sun, Rowoon, Lee Soo Hyuk, Yun Ji On, Kim Hae Sook, Kim Nu Ri</t>
  </si>
  <si>
    <t>#30</t>
  </si>
  <si>
    <t>Healer</t>
  </si>
  <si>
    <t>Seo Jung Hoo is a special kind of night courier, known only as "Healer"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Ð ÑƒÑÑÐºÐ¸Ð¹ Î•Î»Î»Î·Î½Î¹ÎºÎ¬ Italiano</t>
  </si>
  <si>
    <t xml:space="preserve">Action,  Thriller,  Mystery,  Romance </t>
  </si>
  <si>
    <t>Double Identity, Hidden Identity, Smart Male Lead, Strong Male Lead, Childish Female Lead, Fight, Secret, Sassy Female Lead, Reporter, Trauma</t>
  </si>
  <si>
    <t>Ji Chang Wook, Park Min Young, Yoo Ji Tae, Kim  Mi Kyung, Park Sang Won, Do Ji Won</t>
  </si>
  <si>
    <t>#31</t>
  </si>
  <si>
    <t>Stranger</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</si>
  <si>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prosecutorsâ€™ office and solve a serial murder case.</t>
  </si>
  <si>
    <t xml:space="preserve">Thriller,  Mystery,  Law,  Drama </t>
  </si>
  <si>
    <t>Suspense, Investigation, Corruption, Crime Solving Duo, Murder, Calm Male Lead, Alexithymia, Emotionless Male Lead, Strong Female Lead, Smart Female Lead</t>
  </si>
  <si>
    <t>Jo Seung Woo, Bae Doo Na, Lee Joon Hyuk, Yoo Jae Myung, Shin Hye Sun, Choi Jae Woong</t>
  </si>
  <si>
    <t>#32</t>
  </si>
  <si>
    <t>Twenty-Five Twenty-One</t>
  </si>
  <si>
    <t>8.8</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</si>
  <si>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Jinâ€™s father's business to go bankrupt. This leads to a life change for Baek Yi Jin, from living the life of a wealthy person to a poor person. While studying, he works part-time jobs like delivering newspapers. Later, he becomes a sports reporter for a broadcasting network.</t>
  </si>
  <si>
    <t xml:space="preserve">Romance, Life, Drama, Melodrama </t>
  </si>
  <si>
    <t>Coming Of Age, Nostalgia, Fencing, Nice Male Lead, Friendship, IMF Crisis, High School To Working Life, High School, Competition, Enemies To Friends</t>
  </si>
  <si>
    <t>Kim Tae Ri, Nam Joo Hyuk, Bona, Choi Hyun Wook, Lee Joo Myung, Seo Jae Hee</t>
  </si>
  <si>
    <t>#33</t>
  </si>
  <si>
    <t>Tale of the Nine-Tailed 1938</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</si>
  <si>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t>
  </si>
  <si>
    <t>Historical, Horror, Romance, Fantasy</t>
  </si>
  <si>
    <t xml:space="preserve">Nine-tailed Fox, Action, Supernatural, 1930s, Bromance, Brothers' Relationship, Time Travel, Badass Male Lead, Friendship, Suspense </t>
  </si>
  <si>
    <t>Lee Dong Wook, Kim So Yeon, Kim Bum, Ryu Kyung Soo, Kim Yong Ji, Hwang Hee</t>
  </si>
  <si>
    <t>#34</t>
  </si>
  <si>
    <t>The Red Sleeve</t>
  </si>
  <si>
    <t>In Korea during the second half of the 1700s, Yi San is an aloof and perfection-loving young prince. His fatherâ€™s killing haunts him, although it leaves him in the position to take the throne once his grandfather â€“ the cruel and ruthless current king responsible for Yi Sanâ€™s fatherâ€™s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Sanâ€™s love for Sung Deok Im is true, and she starts to understand that forming a union with him could ultimately benefit his troubled realm.</t>
  </si>
  <si>
    <t xml:space="preserve">Historical, Romance, Drama, Melodrama </t>
  </si>
  <si>
    <t>Noble Man/Common Woman, Tearjerker, Death, Joseon Dynasty, Strong Male Lead, Male Chases Female First, Smart Female Lead, Master-Servant Relationship, Strong Female Lead, King Male Lead</t>
  </si>
  <si>
    <t>Lee Jun Ho, Lee Se Young, Kang Hoon, Lee Deok Hwa, Park Ji Young, Jang Hee Jin</t>
  </si>
  <si>
    <t>#35</t>
  </si>
  <si>
    <t>Goblin</t>
  </si>
  <si>
    <t>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t>
  </si>
  <si>
    <t xml:space="preserve">Comedy,  Romance,  Fantasy,  Melodrama </t>
  </si>
  <si>
    <t>Supernatural, Grim Reaper, Older Man/Younger Woman, Interspecies Romance, Dokkaebi, Fate, Tearjerker, Bromance, Death, Heartfelt</t>
  </si>
  <si>
    <t>Gong Yoo, Kim Go Eun, Lee Dong Wook, Yoo In Na, Yook Sung Jae, Lee El</t>
  </si>
  <si>
    <t>#36</t>
  </si>
  <si>
    <t>The Uncanny Counter</t>
  </si>
  <si>
    <t>Tells the story of demon hunters called Counters who come to earth under the guise of being employees at a noodle restaurant in order to capture evil spirits that have returned to earth in pursuit of eternal life.</t>
  </si>
  <si>
    <t xml:space="preserve">Action,  Mystery,  Drama,  Supernatural </t>
  </si>
  <si>
    <t>Special Power, Righteous Male Lead, Evil Spirit, Strong Female Lead, Multiple Mains, Orphan Male Lead, Spirit, School Bullying, Childhood Trauma, Nice Male Lead</t>
  </si>
  <si>
    <t>Cho Byeong Kyu, Yoo  Joon Sang, Kim Se Jeong, Yeom Hye Ran, Ahn Suk Hwan, Lee Hong Nae</t>
  </si>
  <si>
    <t>#37</t>
  </si>
  <si>
    <t>Mouse</t>
  </si>
  <si>
    <t>8.7</t>
  </si>
  <si>
    <t>A suspenseful story that asks the key question, â€œWhat if we could identify psychopaths in advance?â€ A crazed serial killerâ€™s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</si>
  <si>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Psychopath, Murder, Serial Killer, Investigation, Character Development, Detective, Neurosurgeon, Extreme Violence, Child Sexual Abuse, Flashback To Past</t>
  </si>
  <si>
    <t>Lee Seung Gi, Lee Hee Joon, Park Joo Hyun, Kyung Soo Jin, Woo Ji Hyun, Ahn Jae Wook</t>
  </si>
  <si>
    <t>#38</t>
  </si>
  <si>
    <t>Kingdom</t>
  </si>
  <si>
    <t>No sooner does the Joseon King succumb to smallpox, do the rumors of his death begin. The Cho Clan, the clan of the pregnant Queen and her father, Chief State Councillor Cho Hak Joo, declares the Crown Prince a traitor.</t>
  </si>
  <si>
    <t xml:space="preserve">Thriller,  Historical,  Horror,  Political </t>
  </si>
  <si>
    <t>Joseon Dynasty, Adapted From A Webtoon, Power Struggle, Gore, Nice Male Lead, Strong Male Lead, Survival, Corruption, Strong Female Lead, Epidemic</t>
  </si>
  <si>
    <t>Joo Ji Hoon, Ryu Seung Ryong, Bae Doo Na, Kim Sung Gyu, Kim Chan Yi, Kim  Sang Ho</t>
  </si>
  <si>
    <t>#39</t>
  </si>
  <si>
    <t>Weightlifting Fairy Kim Bok Joo</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</si>
  <si>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t>
  </si>
  <si>
    <t xml:space="preserve">Comedy,  Romance,  Youth,  Sports </t>
  </si>
  <si>
    <t>College Life, Dream, Friends To Lovers, Weightlifting, Strong Female Lead, Bantering Relationship, Male Chases Female First, Tomboy, Swimming, Sismance</t>
  </si>
  <si>
    <t>Lee Sung Kyung, Nam Joo Hyuk, Lee Jae Yoon, Kyung Soo Jin, Cho Hye Jung, Lee Joo Young</t>
  </si>
  <si>
    <t>#40</t>
  </si>
  <si>
    <t>D.P.</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</si>
  <si>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t>
  </si>
  <si>
    <t xml:space="preserve">Action,  Military,  Comedy,  Drama </t>
  </si>
  <si>
    <t>Abuse, Soldier, Military Abuse, Violence, PTSD, Bromance, Overcoming Trauma, Adapted From A Webtoon, Sexual Assault, Desertion</t>
  </si>
  <si>
    <t>Jung Hae In, Koo Kyo Hwan, Kim Sung Kyun, Son Seok Koo, Hong Kyung, Jo Hyun Chul</t>
  </si>
  <si>
    <t>#41</t>
  </si>
  <si>
    <t>The Devil Judge</t>
  </si>
  <si>
    <t xml:space="preserve">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"Devil Judge" nickname. As a divisive figure with an aura of mystery that belies his true identity and ambitions, the public is unsure whether he is a true hero or someone, knowingly sowing the seeds of discontent in his courtroom. </t>
  </si>
  <si>
    <t xml:space="preserve">Mystery,  Law,  Crime,  Drama </t>
  </si>
  <si>
    <t>Judge, Tough Past, Dystopia, Antihero, Bromance, Hardworking Male Lead, Courtroom, Corruption, Strong Female Lead, Mysterious Male Lead</t>
  </si>
  <si>
    <t>Ji Sung, Kim Min Jung, Park Jin Young, Park Gyu Young, Jeon Chae Eun, Kim Jae Kyung</t>
  </si>
  <si>
    <t>#42</t>
  </si>
  <si>
    <t>The Penthouse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</si>
  <si>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Seoulâ€™s most coveted penthouse begins.</t>
  </si>
  <si>
    <t xml:space="preserve">Thriller,  Mystery,  Drama,  Family </t>
  </si>
  <si>
    <t>Betrayal, Revenge, Greed, Jealousy, Female Centered Plot, Married Couple, Opera Singer, Motherhood, Twins, School Bullying</t>
  </si>
  <si>
    <t>Lee Ji Ah, Kim So Yeon, Eugene, Uhm Ki Joon, Bong Tae Kyu, Shin Eun Kyung</t>
  </si>
  <si>
    <t>#43</t>
  </si>
  <si>
    <t>Youth of May</t>
  </si>
  <si>
    <t>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t>
  </si>
  <si>
    <t xml:space="preserve">Historical,  Romance,  Drama,  Melodrama </t>
  </si>
  <si>
    <t>1980s, Nurse, Rich Man/Poor Woman, Gwangju Uprising, Medical Student, Strong Female Lead, Smart Female Lead, Forbidden Love, Star Crossed Lovers, Tearjerker</t>
  </si>
  <si>
    <t>Lee Do Hyun, Go Min Si, Lee Sang Yi, Geum Sae Rok, Oh Man Suk, Uhm Hyo Sub</t>
  </si>
  <si>
    <t>#44</t>
  </si>
  <si>
    <t>Taxi Driver</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</si>
  <si>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didnâ€™t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</si>
  <si>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 xml:space="preserve">Action,  Thriller,  Mystery,  Drama </t>
  </si>
  <si>
    <t>Adapted From A Webtoon, Taxi, Strong Male Lead, Investigation, Secret Organization, Smart Female Lead, Taxi Driver, Antihero, Calm Male Lead, Strong Female Lead</t>
  </si>
  <si>
    <t>Lee Je Hoon, Esom, Kim Eui Sung, Pyo Ye Jin, Cha Ji Yeon, Jang Hyuk Jin</t>
  </si>
  <si>
    <t>#45</t>
  </si>
  <si>
    <t>Life on Mars</t>
  </si>
  <si>
    <t>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t>
  </si>
  <si>
    <t xml:space="preserve">Action,  Mystery,  Comedy,  Supernatural </t>
  </si>
  <si>
    <t>1980s, Police Procedural, Bromance, Calm Male Lead, Smart Male Lead, Strong Friendship, Hallucination, Strong Female Lead, Serial Killer, Coma</t>
  </si>
  <si>
    <t>Jung Kyung Ho, Park Sung Woong, Go Ah Sung, Oh Dae Hwan, Noh Jong Hyun, Jun Suk Ho</t>
  </si>
  <si>
    <t>#46</t>
  </si>
  <si>
    <t>A Shop for Killers</t>
  </si>
  <si>
    <t>Ji Anâ€™s life takes a wild turn when she gets a call from the cops about her uncleâ€™s â€œsuicide,â€ but she knows somethingâ€™s off. Raised by her mysterious uncle Jung Jin Man after her parentsâ€™ death, she never imagined him as suicidal. Before she can process it, sheâ€™s suddenly under attack by assassins, drones, and gunfire. Trapped in her uncleâ€™s house, Ji An has to tap into the strange training he gave her as a kid if sheâ€™s going to survive and figure out whatâ€™s really happening.</t>
  </si>
  <si>
    <t>Action, Thriller, Mystery, Drama</t>
  </si>
  <si>
    <t>Smart Male Lead, Smart Female Lead, Physically Strong Male Lead, Mercenary Supporting Character, Weak To Strong, Graphic Violence, Death Of A Mother, Death Of A Father, Raised By Uncle, Competent Male Lead</t>
  </si>
  <si>
    <t>Lee Dong Wook, Kim Hye Joon, Seo Hyun Woo, Park Ji Bin, Geum Hae Na</t>
  </si>
  <si>
    <t>#47</t>
  </si>
  <si>
    <t>Beyond Evil</t>
  </si>
  <si>
    <t>Meet the two fearless men willing to go to extreme lengths in their pursuit of a serial killer that has shaken up their quiet city:</t>
  </si>
  <si>
    <t xml:space="preserve">Thriller,  Mystery,  Psychological,  Drama </t>
  </si>
  <si>
    <t>Determined Male Lead, Investigation, Suspense, Murder, Wrongfully Accused, Psychological Manipulation, Smart Male Lead, Trauma, Serial Killer, Obsession</t>
  </si>
  <si>
    <t>Shin Ha Kyun, Yeo Jin Goo, Choi Dae Hoon, Kim Shin Rok, Choi Sung Eun, Choi Jin Ho</t>
  </si>
  <si>
    <t>#48</t>
  </si>
  <si>
    <t>Racket Boys</t>
  </si>
  <si>
    <t>A story of a boys' badminton team at a middle school in Haenam as they grow, both as people and as players.</t>
  </si>
  <si>
    <t xml:space="preserve">Friendship,  Comedy,  Youth,  Sports </t>
  </si>
  <si>
    <t>Coliving, Boarding House, Charismatic Female Lead, Legend, Rural Life, Working Mom, Athlete, Tough Female Lead, Tough Male Lead, Badminton</t>
  </si>
  <si>
    <t>Kim Sang Kyung, Oh Na Ra, Tang Jun Sang, Son Sang Yeon, Choi Hyun Wook, Kim Kang Hoon</t>
  </si>
  <si>
    <t>#49</t>
  </si>
  <si>
    <t>Hometown Cha-Cha-Cha</t>
  </si>
  <si>
    <t>Hometown Cha-Cha-Cha is a love story set in the seaside village of Gongjin.</t>
  </si>
  <si>
    <t xml:space="preserve">Comedy,  Romance,  Life </t>
  </si>
  <si>
    <t>Rural Village, Dentist, Healing, Kind-hearted Male Lead, Nice Female Lead, Cheerful Male Lead, Nice Male Lead, Bickering Couple, Rural Life, Hardworking Male Lead</t>
  </si>
  <si>
    <t>Shin Min Ah, Kim Seon Ho, Lee Sang Yi, In Gyo Jin, Jo Han Chul, Lee Bong Ryun</t>
  </si>
  <si>
    <t>#50</t>
  </si>
  <si>
    <t>Six Flying Dragons</t>
  </si>
  <si>
    <t>A fiction historical drama about the ambition, rise and fall of real and fictional characters based around Yi Bang Won.</t>
  </si>
  <si>
    <t xml:space="preserve">Action,  Historical,  Drama,  Political </t>
  </si>
  <si>
    <t>Revolution, Power Struggle, Political Intrigue, Sword-fight, Taejong, Scheme, Taejo, Smart Male Lead, Goryeo Dynasty, Bromance</t>
  </si>
  <si>
    <t>Yoo Ah In, Kim Myung Min, Shin Se Kyung, Byun Yo Han, Yoon Kyun Sang, Chun Ho Jin</t>
  </si>
  <si>
    <t>#51</t>
  </si>
  <si>
    <t>The Penthouse 2</t>
  </si>
  <si>
    <t>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t>
  </si>
  <si>
    <t>Revenge, Corruption, High Class Society, Female Centered Plot, Greed, Infidelity, Murder, Family Relationship, Betrayal, Married Couple</t>
  </si>
  <si>
    <t>Kim So Yeon, Eugene, Lee Ji Ah, Uhm Ki Joon, Yoon Jong Hoon, Shin Eun Kyung</t>
  </si>
  <si>
    <t>#52</t>
  </si>
  <si>
    <t>Our Beloved Summer</t>
  </si>
  <si>
    <t>Years after filming a viral documentary in high school, two bickering ex-lovers get pulled back in front of the camera â€”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t>
  </si>
  <si>
    <t xml:space="preserve">Romance, Life, Youth, Drama </t>
  </si>
  <si>
    <t>Lovers Reunited, High School Sweethearts, First Love, Healing, Flashback To Past, Love/Hate Relationship, Interview, Coming Of Age, Second Chance Romance, Enemies To Lovers</t>
  </si>
  <si>
    <t>Choi Woo Shik, Kim Da Mi, Kim Sung Cheol, Roh Jeong Eui, Ahn Dong Goo, Park Jin Joo</t>
  </si>
  <si>
    <t>#53</t>
  </si>
  <si>
    <t>The Guest</t>
  </si>
  <si>
    <t>Yoon Hwa Pyung,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Pyung, Choi Yoon</t>
  </si>
  <si>
    <t>#54</t>
  </si>
  <si>
    <t>Dear My Friends</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</si>
  <si>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t>
  </si>
  <si>
    <t xml:space="preserve">Life,  Drama,  Family,  Melodrama </t>
  </si>
  <si>
    <t>Best Friends, Life Lesson, Female Centered Plot, Senior Citizen, Mother-Son Relationship, Mother-Daughter Relationship, Multiple Couples, Single Mother, Sismance, Family Conflict</t>
  </si>
  <si>
    <t>Go Hyun Jung, Kim Hye Ja, Na Moon Hee, Go Doo Shim, Park Won Sook, Youn Yuh Jung</t>
  </si>
  <si>
    <t>#55</t>
  </si>
  <si>
    <t>While You Were Sleeping</t>
  </si>
  <si>
    <t>A young woman with bad premonition dreams meets two people who suddenly develop the same ability.</t>
  </si>
  <si>
    <t xml:space="preserve">Mystery,  Romance,  Drama,  Fantasy </t>
  </si>
  <si>
    <t>Precognition, Nice Male Lead, Neighbors, Murder, Tragic Past, Childhood Acquaintance, Smart Male Lead, Steamy Kiss, Strong Female Lead, Healing</t>
  </si>
  <si>
    <t>Bae Suzy, Lee Jong Suk, Jung Hae In, Lee Sang Yeob, Hwang Young Hee, Shin Jae Ha</t>
  </si>
  <si>
    <t>#56</t>
  </si>
  <si>
    <t>Chicago Typewriter</t>
  </si>
  <si>
    <t>This drama follows the lives of two men and a woman through two eras: one during the 1930s Japanese occupation of Korea and the other in the 21st century. The three main characters are</t>
  </si>
  <si>
    <t xml:space="preserve">Comedy,  Romance,  Supernatural,  Political </t>
  </si>
  <si>
    <t>Reincarnation, Strong Friendship, Writer, Hardworking Male Lead, Hardworking Female Lead, Strong Female Lead, Successful Male Lead, Bromance, Flashback To Past, Tragic Past</t>
  </si>
  <si>
    <t>Yoo Ah In, Im Soo Jung, Go Kyung Pyo, Kwak Shi Yang, Jo  Woo Jin, Oh Na Ra</t>
  </si>
  <si>
    <t>#57</t>
  </si>
  <si>
    <t>18 Again</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</si>
  <si>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Youngâ€™s incessant nonsense, Da Jung is at her witsâ€™ end. When Dae Young announces that heâ€™s been fired, Da Jung gives up completely. Convinced life would be better without her husband in it, Da Jung wastes no time in filing for divorce.</t>
  </si>
  <si>
    <t xml:space="preserve">Romance,  Life,  Drama,  Fantasy </t>
  </si>
  <si>
    <t>Second Chance, Personal Growth, First Love, Return To Past, Father-Son Relationship, Divorce, Remake, Married Couple, Hardworking Female Lead, Father-Daughter Relationship</t>
  </si>
  <si>
    <t>Kim Ha Neul, Yoon Sang Hyun, Lee Do Hyun, Roh Jeong Eui, Ryeoun, Wi Ha Joon</t>
  </si>
  <si>
    <t>#58</t>
  </si>
  <si>
    <t>Flex X Cop</t>
  </si>
  <si>
    <t>Jin I Su has everything in life. Being a third-generation conglomerate heir, he never requires othersâ€™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t>
  </si>
  <si>
    <t>Action, Thriller, Mystery, Comedy</t>
  </si>
  <si>
    <t xml:space="preserve">Detective Fiction, Teamwork, Rich Male Lead, Investigation, Non-MDL Remake, Team Leader Female Lead, Immature Male Lead, Childish Male Lead, Character Development, Heir Male Lead </t>
  </si>
  <si>
    <t>Ahn Bo Hyun, Park Ji Hyun, Kang Sang Jun, Kim Shin Bi, Jang Hyun Sung</t>
  </si>
  <si>
    <t>#59</t>
  </si>
  <si>
    <t>Arthdal Chronicles Part 2</t>
  </si>
  <si>
    <t>Ta Gon has now become the most powerful man in Arthdal. He has an affectionate relationship only with Taealha, the daughter of the rival Hae Tribe, because of their shared ambitions.</t>
  </si>
  <si>
    <t xml:space="preserve">Historical,  Romance,  Fantasy,  Political </t>
  </si>
  <si>
    <t>Twins, War, Power Struggle, Revenge, Slavery, Good Twin/Evil Twin, Strong Female Lead, Character Development, Father-Daughter Relationship, Sibling</t>
  </si>
  <si>
    <t>Song Joong Ki, Kim Ji Won, Jang Dong Gun, Kim Ok Bin, Jo Sung Ha, Park Hae Joon</t>
  </si>
  <si>
    <t>#60</t>
  </si>
  <si>
    <t>Arthdal Chronicles Part 3</t>
  </si>
  <si>
    <t>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t>
  </si>
  <si>
    <t>Power Struggle, War, Supernatural Power, Strong Female Lead, Identical Twins, Curse, Revenge, Superhuman Strength, Pre-produced, Sibling</t>
  </si>
  <si>
    <t>Song Joong Ki, Kim Ji Won, Jang Dong Gun, Kim Ok Bin, Kim Sung Chul, Karata Erika</t>
  </si>
  <si>
    <t>#61</t>
  </si>
  <si>
    <t>Through the Darkness</t>
  </si>
  <si>
    <t>Back in the 1990s, the citizens of Seoul were gripped with a paralyzing fear after a series of brutal attacks and murders occurred. A mysterious figure dubbed â€˜Red Capâ€™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</si>
  <si>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 xml:space="preserve">Thriller, Mystery, Crime, Drama </t>
  </si>
  <si>
    <t>Investigation, Murder, Calm Male Lead, Suspense, 1990s, Adapted From A Novel, 2000s, Empathic Male Lead, Time Skip, Sexual Assault</t>
  </si>
  <si>
    <t>Kim Nam Gil, Jin Seon Kyu, Kim So Jin, Ryeoun, Lee Dae Yeon, Kim Won Hae</t>
  </si>
  <si>
    <t>#62</t>
  </si>
  <si>
    <t>Dr. Romantic 2</t>
  </si>
  <si>
    <t>A â€œreal doctorâ€ story set in a small, humble hospital called Doldam Hospital. It is a story about people who meet Kim Sa Bu, a genius doctor, and discover â€œreal romance.â€</t>
  </si>
  <si>
    <t xml:space="preserve">Romance,  Drama,  Medical,  Melodrama </t>
  </si>
  <si>
    <t>Hospital, Smart Male Lead, Character Development, Bickering Couple, Love/Hate Relationship, Smart Female Lead, Hardworking Female Lead, Nurse, Healing, Nervous Female Lead</t>
  </si>
  <si>
    <t>Han Seok Kyu, Ahn Hyo Seop, Lee Sung Kyung, Kim Joo Heon, Shin Dong Wook, So Ju Yeon</t>
  </si>
  <si>
    <t>#63</t>
  </si>
  <si>
    <t>Defendant</t>
  </si>
  <si>
    <t>Park Jung Woo is a prosecutor at Seoul Central District Prosecutorsâ€™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t>
  </si>
  <si>
    <t>Prison, Murder, Amnesia, Wrongfully Accused, Identity Swap, Bromance, Prisoner, Identical Twins, Suspense, Good Twin/Evil Twin</t>
  </si>
  <si>
    <t>Ji Sung, Uhm Ki Joon, Kwon Yu Ri, Oh Chang Seok, Uhm Hyun Kyung, Jung Dong Gyu</t>
  </si>
  <si>
    <t>#64</t>
  </si>
  <si>
    <t>Our Blues</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</si>
  <si>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t>
  </si>
  <si>
    <t>Romance, Life, Drama, Melodrama</t>
  </si>
  <si>
    <t xml:space="preserve">Multiple Mains, Anthology, Island Setting, Middle-Aged Female Lead, Middle-Aged Male Lead, Slow Burn Story, Family, Friendship, Depression, Deaf Supporting Character </t>
  </si>
  <si>
    <t>Lee Byung Hun, Shin Min Ah, Cha Seung Won, Lee Jung Eun, Uhm Jung Hwa, Han Ji Min</t>
  </si>
  <si>
    <t>#65</t>
  </si>
  <si>
    <t>Sweet Home</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</si>
  <si>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t>
  </si>
  <si>
    <t xml:space="preserve">Horror,  Drama,  Sci-Fi,  Supernatural </t>
  </si>
  <si>
    <t>Monsters, Gore, Survival, Character Development, Adapted From A Webtoon, Supernatural Phenomena, Multiple Mains, Trauma, School Bullying, Attempted Suicide</t>
  </si>
  <si>
    <t>Song Kang, Lee Jin Wook, Lee Si Young, Lee Do Hyun, Kim Nam Hee, Go Min Si</t>
  </si>
  <si>
    <t>#66</t>
  </si>
  <si>
    <t>Kill Me, Heal Me</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</si>
  <si>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Jinâ€™s twin brother, Oh Ri On, a famous mystery novelist, investigates Do Hyeon and his family. (Source: MyDramaList) Edit Translation  English Ð ÑƒÑÑÐºÐ¸Ð¹ TÃ¼rkÃ§e PortuguÃªs</t>
  </si>
  <si>
    <t>Dissociative Identity Disorder, Trauma, Boss-Employee Relationship, Rich Male Lead, Mental Health, PTSD, Psychiatry, Nice Male Lead, Mean Male Lead, Rich Man/Poor Woman</t>
  </si>
  <si>
    <t>Ji Sung, Hwang Jung Eum, Park Seo Joon, Kim Yoo Ri, Oh Min Suk, Kim Young Ae</t>
  </si>
  <si>
    <t>#67</t>
  </si>
  <si>
    <t>Moon Lovers</t>
  </si>
  <si>
    <t xml:space="preserve">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t>
  </si>
  <si>
    <t xml:space="preserve">Historical,  Romance,  Melodrama </t>
  </si>
  <si>
    <t>Goryeo Dynasty, Power Struggle, Sibling Rivalry, Tearjerker, Adapted From A Novel, Time Travel, Death, Gwangjong, Reverse-Harem, Obsession</t>
  </si>
  <si>
    <t>Lee Joon Gi, IU, Kang Ha Neul, Hong Jong Hyun, Nam Joo Hyuk, Byun Baek Hyun</t>
  </si>
  <si>
    <t>#68</t>
  </si>
  <si>
    <t>A Business Proposal</t>
  </si>
  <si>
    <t>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t>
  </si>
  <si>
    <t>Comedy, Romance, Drama</t>
  </si>
  <si>
    <t>Boss-Employee Relationship, Secondary Couple, Cheerful Female Lead, Fake Identity, Blind Date, Poor Female Lead, Contract Relationship, Sismance, Double Identity, Company President (CEO) Male Lead</t>
  </si>
  <si>
    <t>#69</t>
  </si>
  <si>
    <t>Misaeng</t>
  </si>
  <si>
    <t>Jang Geu Rae has played the game of Go since he was a child. When his plans of becoming a professional Go player fail, the down-and-out Geu Rae is forced to take an office job as an intern set up for him by an acquaintanceâ€™s recommendation for him to a large company called One International.</t>
  </si>
  <si>
    <t xml:space="preserve">Friendship,  Business,  Life,  Drama </t>
  </si>
  <si>
    <t>Office Worker, Workplace Abuse, Teamwork, Adapted From A Webtoon, Hardworking Male Lead, Workplace, Smart Female Lead, Strong Female Lead, Nice Male Lead, Hardworking Female Lead</t>
  </si>
  <si>
    <t>Im Si Wan, Lee Sung Min, Kang So Ra, Kang Ha Neul, Byun Yo Han, Kim Dae Myung</t>
  </si>
  <si>
    <t>#70</t>
  </si>
  <si>
    <t>Strong Woman Do Bong Soon</t>
  </si>
  <si>
    <t>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t>
  </si>
  <si>
    <t xml:space="preserve">Action,  Thriller,  Comedy,  Romance,  Drama,  Supernatural </t>
  </si>
  <si>
    <t>Strong Female Lead, Female Lead Action Scenes, Love Triangle, Superhuman Strength, Strong Female Characters, Game Developer, Gangster, Nice Male Lead, Bodyguard, Workplace</t>
  </si>
  <si>
    <t>Park Bo Young, Park Hyung Sik, Kim Ji Soo, Jun Suk Ho, Shim Hye Jin, Yoo Jae Myung</t>
  </si>
  <si>
    <t>#71</t>
  </si>
  <si>
    <t>The Fiery Priest</t>
  </si>
  <si>
    <t>Kim Hae Il is a Catholic priest. He makes spiteful remarks and he can be rude to others. Koo Dae Young is a detective. He talks a lot and he is also timid. Park Kyung Sun is a prosecutor. She is smart and beautiful. She is also ambitious as a prosecutor and good at her job.</t>
  </si>
  <si>
    <t xml:space="preserve">Action,  Mystery,  Comedy,  Crime </t>
  </si>
  <si>
    <t>Badass Male Lead, Priest, Eccentric Male Lead, Sassy Female Lead, Bromance, Aggressive Male Lead, Church, Strong Friendship, PTSD, Sismance</t>
  </si>
  <si>
    <t>Kim Nam Gil, Kim Sung Kyun, Lee Ha Nee, Go Jun, Geum Sae Rok, Jeon Sung Woo</t>
  </si>
  <si>
    <t>#72</t>
  </si>
  <si>
    <t xml:space="preserve">Bloodhounds </t>
  </si>
  <si>
    <t>When reserved rookie boxer Kim Geon U squares off against loquacious southpaw Hong U Jin, Geon U narrowly prevails â€” but the two former marines become fast friends. As their friendship grows, so do the financial woes that plague Geon Uâ€™s mother. To save her quaint cafÃ© from going under, she signs off on a hefty loan. But when it turns out sheâ€™s been targeted by Smile Capital â€” a ruthless loan shark business â€” Geon U and U Jin do everything in their power to make it right. Fate intervenes as the pair end up working for a generous money lender whose foster daughter is dead set on taking down the loan sharks.</t>
  </si>
  <si>
    <t>Action, Thriller, Crime, Drama</t>
  </si>
  <si>
    <t>Bromance, Debt, Graphic Violence, Skilled Fighter, Boxer Male Lead, Friendship, Teamwork, Boxing, COVID-19, Fraud</t>
  </si>
  <si>
    <t>Woo Do Hwan, Lee Sang Yi, Huh Joon Ho, Park Sung Woong</t>
  </si>
  <si>
    <t>#73</t>
  </si>
  <si>
    <t>My Name</t>
  </si>
  <si>
    <t>Following her father's murder, a revenge-driven woman puts her trust in a powerful crime boss â€” and enters the police force under his direction.</t>
  </si>
  <si>
    <t xml:space="preserve">Action,  Thriller,  Crime </t>
  </si>
  <si>
    <t>Revenge, Undercover Agent, Strong Female Lead, Double Identity, Crime Boss, Gang, Noir, Strong Male Lead, Drugs, Death</t>
  </si>
  <si>
    <t>Han So Hee, Park Hee Soon , Ahn Bo Hyun, Lee Hak Joo, Kim  Sang Ho, Jang Yool</t>
  </si>
  <si>
    <t>#74</t>
  </si>
  <si>
    <t>Hotel del Luna</t>
  </si>
  <si>
    <t xml:space="preserve">Nestled deep in the heart of Seoulâ€™s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establishmentâ€™s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</si>
  <si>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 xml:space="preserve">Horror,  Comedy,  Romance,  Fantasy </t>
  </si>
  <si>
    <t>Boss-Employee Relationship, Immortal, Strong Female Lead, Ghost, Ghost-seeing Male Lead, Supernatural, Hotel, Rich Female Lead, Nice Male Lead, Strong Friendship</t>
  </si>
  <si>
    <t>IU, Yeo Jin Goo, Shin Jung Keun, Bae Hae Seon, P.O, Jo Hyun Chul</t>
  </si>
  <si>
    <t>#75</t>
  </si>
  <si>
    <t>Begins Youth</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</si>
  <si>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t>
  </si>
  <si>
    <t>Life, Youth, Drama, Fantasy</t>
  </si>
  <si>
    <t xml:space="preserve">Friendship, Violence Against Children, Alcoholic Supporting Character, Emotionally Strong Male Lead, Tsundere Male Lead, Chronic Illness, False Rumor, Manipulative Parent, Energetic Male Lead, Irresponsible Parent </t>
  </si>
  <si>
    <t>Seo Ji Hoon, Noh Jong Hyun, Ahn Ji Ho, Seo Young Joo, Kim Yoon Woo, Jung Woo Jin</t>
  </si>
  <si>
    <t>#76</t>
  </si>
  <si>
    <t>Hot Stove League</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</si>
  <si>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t>
  </si>
  <si>
    <t xml:space="preserve">Drama,  Sports,  Melodrama </t>
  </si>
  <si>
    <t>Hardworking Female Lead, Baseball, Hardworking Male Lead, Workplace, Teamwork, General Manager, Corruption, Successful Male Lead, Tough Male Lead, Calm Male Lead</t>
  </si>
  <si>
    <t>Namkoong Min, Park Eun Bin, Cho Byeong Kyu, Oh Jung Se, Son Jong Hak, Kim Do Hyun</t>
  </si>
  <si>
    <t>#77</t>
  </si>
  <si>
    <t>Dr. Romantic</t>
  </si>
  <si>
    <t>Kim Sa Bu was once a famous surgeon at the peak of his career at a major hospital. But he suddenly gives it all up one day to live in seclusion and work as a neighborhood doctor in a small town. He now goes by â€œTeacher Kimâ€ and refers to himself as the â€œRomantic Doctorâ€.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t>
  </si>
  <si>
    <t xml:space="preserve">Romance,  Drama,  Medical </t>
  </si>
  <si>
    <t>Surgeon, Strong Male Lead, Smart Male Lead, Strong Female Characters, Hardworking Female Lead, Hardworking Male Lead, Character Development, Smart Female Lead, Boss-Employee Relationship, Slow Burn Romance</t>
  </si>
  <si>
    <t>Han Seok Kyu, Yoo Yeon Seok, Seo Hyun Jin, Choi Jin Ho, Yang Se Jong, Jang Hyuk Jin</t>
  </si>
  <si>
    <t>#78</t>
  </si>
  <si>
    <t>Descendants of the Sun</t>
  </si>
  <si>
    <t>A love story that develops between a surgeon and a special forces officer.</t>
  </si>
  <si>
    <t xml:space="preserve">Action,  Comedy,  Romance,  Melodrama </t>
  </si>
  <si>
    <t>Soldier, Hardworking Female Lead, Multiple Couples, Bromance, Hardworking Male Lead, Charming Male Lead, Gun Violence, Filmed Abroad, Friendship, Strong Friendship</t>
  </si>
  <si>
    <t>Song Joong Ki, Song Hye Kyo, Jin Goo, Kim Ji Won, Lee Seung Jun, Seo Jung Yeon</t>
  </si>
  <si>
    <t>#79</t>
  </si>
  <si>
    <t>Law School</t>
  </si>
  <si>
    <t>When a grim incident occurs at their prestigious school, justice through law is put to the test by a tough law professor and his ambitious students.</t>
  </si>
  <si>
    <t>Smart Male Lead, School, Student, University, Death, Hardworking Female Lead, Rich Male Lead, Law Student, Campus Life, Nice Male Lead</t>
  </si>
  <si>
    <t>Kim Myung Min, Kim Bum, Ryu Hye Young, Lee Jung Eun, Lee Soo Kyung, Lee David</t>
  </si>
  <si>
    <t>#80</t>
  </si>
  <si>
    <t>Strangers from Hell</t>
  </si>
  <si>
    <t>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t>
  </si>
  <si>
    <t xml:space="preserve">Thriller,  Horror,  Psychological,  Drama </t>
  </si>
  <si>
    <t>Adapted From A Webtoon, Murder, PTSD, Gaslighting, Mental Illness, Mental Torment, Hostel, Trauma, Torture, Psychopath</t>
  </si>
  <si>
    <t>Im Si Wan, Lee Dong Wook, Lee Jung Eun, Ahn Eun Jin, Park Jong Hwan, Lee Joong Ok</t>
  </si>
  <si>
    <t>#81</t>
  </si>
  <si>
    <t>Live</t>
  </si>
  <si>
    <t>The drama revolves around the incidents that occur in the police force and the joy, sorrow, and pain that police officers experience as they try to protect justice.</t>
  </si>
  <si>
    <t xml:space="preserve">Friendship,  Comedy,  Romance,  Crime </t>
  </si>
  <si>
    <t>Teamwork, Violence, Strong Friendship, Slice Of Life, Policewoman, Strong Female Lead, Smart Female Lead, Male Chases Female First, Rape, Nice Male Lead</t>
  </si>
  <si>
    <t>Lee Kwang Soo, Jung Yu Mi, Bae Sung Woo, Bae Jong Ok, Sung Dong Il, Jang Hyun Sung</t>
  </si>
  <si>
    <t>#82</t>
  </si>
  <si>
    <t>Tunnel</t>
  </si>
  <si>
    <t>In 1986, Park Gwang Ho works as an excellent and enthusiastic detective. His life changes when heâ€™s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</si>
  <si>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 xml:space="preserve">Thriller,  Mystery,  Sci-Fi,  Fantasy </t>
  </si>
  <si>
    <t>Time Travel, Murder, Criminal Profiler, Serial Killer, Bromance, Hardworking Male Lead, Hidden Identity, Strong Female Lead, Character Development, Slight Romance</t>
  </si>
  <si>
    <t>Choi Jin Hyuk, Yoon Hyun Min, Lee Yoo Young, Jo Hee Bong, Kim Byung Chul, Kang Ki Young</t>
  </si>
  <si>
    <t>#83</t>
  </si>
  <si>
    <t>My Liberation Notes</t>
  </si>
  <si>
    <t>8.6</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</si>
  <si>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t>
  </si>
  <si>
    <t>Slow Burn Story, Loneliness, Introverted Female Lead, Alcoholic Male Lead, Slow Burn Romance, Alcoholism, Multiple Mains, Character Development, Inner Monologue, Multiple Couples</t>
  </si>
  <si>
    <t>Kim Ji Won, Lee Min Ki, Son Seok Koo, Lee El, Lee Ki Woo, Chun Ho Jin</t>
  </si>
  <si>
    <t>#84</t>
  </si>
  <si>
    <t>Partners for Justice 2</t>
  </si>
  <si>
    <t>In crime and in life, all contact leaves a trace. There is no perfect crime and our hero and heroine have the ultimate cooperation. This drama continues the tale of a forensic scientist and a prosecutor who make the best of teams.</t>
  </si>
  <si>
    <t xml:space="preserve">Mystery,  Law,  Drama,  Medical </t>
  </si>
  <si>
    <t>Forensic Science, Prosecutor Female Lead, Doctor Male Lead, Rich Female Lead, Death, Murder, Investigation</t>
  </si>
  <si>
    <t>Jung Jae Young, Jung Yoo Mi, Oh Man Suk, Noh Min Woo, Kang Seung Hyun, Park Jun Gyu</t>
  </si>
  <si>
    <t>#85</t>
  </si>
  <si>
    <t>Jewel in the Palace</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</si>
  <si>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t>
  </si>
  <si>
    <t xml:space="preserve">Food,  Historical,  Romance,  Medical </t>
  </si>
  <si>
    <t>Cooking, Strong Female Lead, Royal Rules And Etiquette, Joseon Dynasty, Royal Cook, Doctor Female Lead, Faithful Male Lead, Smart Female Lead, Melodrama, Drama</t>
  </si>
  <si>
    <t>Lee Young Ae, Ji Jin Hee, Hong Ri Na, Im Ho, Yang  Mi Kyung, Kyeon Mi Ri</t>
  </si>
  <si>
    <t>#86</t>
  </si>
  <si>
    <t>It's Okay, That's Love</t>
  </si>
  <si>
    <t xml:space="preserve">Despite being a bit of a prickly pear, Jang Jae Yeol has become famous for authoring mystery novels and for hosting a popular radio show. While sitting on a talk show panel with psychiatrist Ji Hae Soo, it became clear to all that the two just rubbed each other the wrong way. </t>
  </si>
  <si>
    <t>Strong Female Lead, Psychiatry, Mental Health, Trauma, Charming Male Lead, Healing, Adult Romance, Melodrama, Cohabitation, Housemates</t>
  </si>
  <si>
    <t>Jo In Sung, Gong Hyo Jin, Sung Dong Il, Lee Kwang Soo, Jin Kyung, Lee Sung Kyung</t>
  </si>
  <si>
    <t>#87</t>
  </si>
  <si>
    <t>Love Scout</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</si>
  <si>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t>
  </si>
  <si>
    <t>Business, Romance, Life, Drama</t>
  </si>
  <si>
    <t xml:space="preserve">Gender Role Reversal, Warm Man/Cold Woman, Hardworking Female Lead, Father-Son Relationship, Boss-Employee Relationship, Nice Male Lead, Emotionally Strong Male Lead, Emotionally Strong Female Lead, Insomniac Female Lead, Mentor-Mentee Relationship </t>
  </si>
  <si>
    <t>Han Ji Min, Lee Jun Hyuk, Kim Do Hoon, Kim Yoon Hye</t>
  </si>
  <si>
    <t>#88</t>
  </si>
  <si>
    <t>Little Women</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</si>
  <si>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whatâ€™s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familyâ€™s financial situation, she enters an art high school with her natural talent.</t>
  </si>
  <si>
    <t>Female Centered Plot, Sisters' Relationship, Poor Female Lead, Poor Family, Multiple Mains, Reporter Female Lead, Investigation, Murder, Outcast Female Lead, Teenager Female Lead</t>
  </si>
  <si>
    <t>Kim Go Eun, Nam Ji Hyun, Park Ji Hoo, Wi Ha Joon, Uhm Ki Joon, Uhm Ji Won</t>
  </si>
  <si>
    <t>#89</t>
  </si>
  <si>
    <t>Ghost Doctor</t>
  </si>
  <si>
    <t>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t>
  </si>
  <si>
    <t>Comedy, Medical, Fantasy, Supernatural</t>
  </si>
  <si>
    <t xml:space="preserve">Doctor Male Lead, Spirit, Bromance, Ghost, Spirit Possession, Doctor Female Lead, Arrogant Male Lead, Ghost-seeing Male Lead, Rich Male Lead, Slight Romance </t>
  </si>
  <si>
    <t>Rain, Kim Bum, Uee, Son Na Eun, Sung Dong Il, Tae In Ho</t>
  </si>
  <si>
    <t>#90</t>
  </si>
  <si>
    <t>Eulachacha Waikiki</t>
  </si>
  <si>
    <t>Three very different young men â€“ Dong Goo, the bad luck incarnate who dreams of becoming a film director, Joon Ki, an eccentric actor who performs to make a living, and Doo Shik, a freelancer writer who fiddles around doing nothing most of the time - open a guest house named â€œWaikikiâ€ in Itaewon where many foreigners come to stay.  Although they have no clue how to run it, theyâ€™re eager to earn money to pay for the production of their upcoming film.</t>
  </si>
  <si>
    <t xml:space="preserve">Comedy,  Life,  Youth,  Drama </t>
  </si>
  <si>
    <t>Housemates, Bromance, Friends To Lovers, Motherhood, Cohabitation, Babysitting, Single Mother, Actor, Childhood Friends, Secondary Couple</t>
  </si>
  <si>
    <t>Kim Jung Hyun, Lee Yi Kyung, Son Seung Won, Jung In Sun, Go Won Hee, Lee Joo Woo</t>
  </si>
  <si>
    <t>#91</t>
  </si>
  <si>
    <t>The Bridal Mask</t>
  </si>
  <si>
    <t xml:space="preserve">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t>
  </si>
  <si>
    <t xml:space="preserve">Action,  Historical,  Romance,  Political </t>
  </si>
  <si>
    <t>Japanese Colonial Rule, Hidden Identity, Revenge, Rebellion, Murder, Love Triangle, Adapted From A Manhwa, Investigation, Drama, Sword-fight</t>
  </si>
  <si>
    <t>Joo Won, Jin Se Yeon, Park Ki Woong, Han Chae Ah, Shin Hyun Joon, Chun Ho Jin</t>
  </si>
  <si>
    <t>#92</t>
  </si>
  <si>
    <t xml:space="preserve">Revenant </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</si>
  <si>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t>
  </si>
  <si>
    <t>Thriller, Mystery, Horror, Supernatural</t>
  </si>
  <si>
    <t xml:space="preserve">Spirit Possession, Occult, Folklore, Spirit, Emotionally Strong Female Lead, Student Female Lead, Winter Setting, Professor Male Lead, Detective Male Lead, Difficult Childhood </t>
  </si>
  <si>
    <t>Kim Tae Ri, Oh Jung Se, Hong Kyung</t>
  </si>
  <si>
    <t>#93</t>
  </si>
  <si>
    <t>Children of Nobody</t>
  </si>
  <si>
    <t>Cha Woo Kyung is a child counselor who works at a childrenâ€™s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</si>
  <si>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 xml:space="preserve">Thriller,  Mystery,  Psychological,  Crime,  Drama </t>
  </si>
  <si>
    <t>Trauma, Child Abuse, Smart Female Lead, Child Behavior Issues, Abuse, Murder, Tragic Past, Psychiatry, Child Abandonment, Domestic Violence</t>
  </si>
  <si>
    <t>Kim Sun Ah, Lee Yi Kyung, Nam Gyu Ri, N, Joo Seok Tae, Na Young Hee</t>
  </si>
  <si>
    <t>#94</t>
  </si>
  <si>
    <t>Good Manager</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</si>
  <si>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heâ€™d rather fight against corporate corruption and fight for employeesâ€™ rights than complete the mission he originally came to do. Can he succeed at his new objective against all odds?</t>
  </si>
  <si>
    <t xml:space="preserve">Business,  Comedy,  Crime,  Drama </t>
  </si>
  <si>
    <t>Eccentric Male Lead, Corruption, Bromance, Social Satire, Smart Male Lead, Revenge, Accountant, Enemy Mine, Smart Female Lead, Strong Female Lead</t>
  </si>
  <si>
    <t>Namkoong Min, Nam Sang Mi, Lee Jun Ho, Jung Hye Sung, Kim Won Hae, Kim Kang Hyun</t>
  </si>
  <si>
    <t>#95</t>
  </si>
  <si>
    <t>The King of Pigs</t>
  </si>
  <si>
    <t>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t>
  </si>
  <si>
    <t>Thriller, Mystery, Drama</t>
  </si>
  <si>
    <t>School Bullying, Detective Male Lead, Detective Female Lead, School Violence, Flashback To Past, Revenge, Gore, Murder, Childhood Trauma, Extreme Violence</t>
  </si>
  <si>
    <t>Kim Dong Wook, Kim Sung Gyu, Chae Jung An, Choi Hyun Jin, Sim Hyun Seo, Lee Chan Yoo</t>
  </si>
  <si>
    <t>#96</t>
  </si>
  <si>
    <t>Big Mouth</t>
  </si>
  <si>
    <t>Park Chang Ho is known since his school days as "Big Mouth" because he talks big and promises big things but can not follow it up. He is also an infamous lawyer with a very low rate of success who was hired by a Mayor because of his incompetence. Unfortunately, he was framed as the notorious and mysterious swindler "Big Mouse"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t>
  </si>
  <si>
    <t>Thriller, Mystery, Law, Drama</t>
  </si>
  <si>
    <t>Suspense, Death, Investigation, Lawyer Male Lead, Murder, Brave Female Lead, Hardship, Greed, Wrongfully Accused, Mistaken Identity</t>
  </si>
  <si>
    <t>Lee Jong Suk, Im Yoon Ah, Kim Joo Heon, Kwak Dong Yeon, Yang Kyung Won, Ok Ja Yeon</t>
  </si>
  <si>
    <t>#97</t>
  </si>
  <si>
    <t>Go Back Couple</t>
  </si>
  <si>
    <t>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t>
  </si>
  <si>
    <t xml:space="preserve">Comedy,  Romance,  Life,  School,  Drama,  Family,  Supernatural </t>
  </si>
  <si>
    <t>Time Travel, Love/Hate Relationship, Marriage, Mother-Daughter Relationship, Misunderstanding, 1990s, Failing Marriage, Married Couple, Sassy Female Lead, Sismance</t>
  </si>
  <si>
    <t>Jang Na Ra, Son Ho Jun, Heo Jung Min, Han Bo Reum, Jang Ki Yong, Go Bo Gyeol</t>
  </si>
  <si>
    <t>#98</t>
  </si>
  <si>
    <t>Empress Ki</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</si>
  <si>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t>
  </si>
  <si>
    <t xml:space="preserve">Historical,  Romance,  Melodrama,  Political </t>
  </si>
  <si>
    <t>Smart Female Lead, Strong Female Lead, Power Struggle, Possessive Male Lead, Love Triangle, Female Warrior, Yuan Dynasty, Revenge, Cross-Dressing, Goryeo Dynasty</t>
  </si>
  <si>
    <t>Ha Ji Won, Ji Chang Wook, Joo Jin Mo, Baek Jin Hee, Kim Ji Han, Kim Seo Hyung</t>
  </si>
  <si>
    <t>#99</t>
  </si>
  <si>
    <t>My Father is Strange</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</si>
  <si>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t>
  </si>
  <si>
    <t xml:space="preserve">Comedy,  Romance,  Drama,  Family </t>
  </si>
  <si>
    <t>Family Secret, Sisterhood, Eccentric Female Lead, Fake Incest, Multiple Couples, Strong Female Lead, Father-Daughter Relationship, Mother-Daughter Relationship, Mother-Son Relationship, Father-Son Relationship</t>
  </si>
  <si>
    <t>Kim Yeong Cheol, Kim Hae Sook, Ryu Soo Young, Lee Yoo Ri, Lee Joon, Jung So Min</t>
  </si>
  <si>
    <t>#100</t>
  </si>
  <si>
    <t xml:space="preserve">High School Return of a Gangster </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</si>
  <si>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t>
  </si>
  <si>
    <t>Life, Youth, Fantasy</t>
  </si>
  <si>
    <t xml:space="preserve">Gangster Male Lead, School Bullying, Censored Adaptation Of Same-sex Original Work, Character Development, Body Swap, Friendship, Student Male Lead, School Setting, School Friends' Relationship, Middle-Aged Male Lead </t>
  </si>
  <si>
    <t>Yoon Chan Young, Bong Jae Hyun, Lee Seo Jin, Seo Tae Hwa</t>
  </si>
  <si>
    <t>#101</t>
  </si>
  <si>
    <t>Once Again</t>
  </si>
  <si>
    <t xml:space="preserve">"Once Again" is the story of the eventful Song family who canâ€™t get a day of peace and their neighbors in Yongju Market. </t>
  </si>
  <si>
    <t>Divorce, Family Relationship, Multiple Couples, Multiple Mains, Marriage, Slice Of Life, Married Couple, Age Gap, Sibling, Secret Relationship</t>
  </si>
  <si>
    <t>Chun Ho Jin, Cha Hwa Yun, Lee Jung Eun, Oh Dae Hwan, Lee Min Jung, Lee Sang Yeob</t>
  </si>
  <si>
    <t>#102</t>
  </si>
  <si>
    <t>Missing</t>
  </si>
  <si>
    <t>A village holds spirits of missing, deceased people. A search to find the missing bodies and discover the truth behind their disappearance occurs.</t>
  </si>
  <si>
    <t xml:space="preserve">Thriller,  Mystery,  Supernatural </t>
  </si>
  <si>
    <t>Con Artist, Ghost-seeing Male Lead, Spirit, Missing Person, Detective, Hacker, Bromance, Social Justice, Righteous Male Lead, Death</t>
  </si>
  <si>
    <t>Go Soo, Heo Joon Ho, Ahn So Hee, Ha Joon, Seo Eun Soo, Song Geon Hee</t>
  </si>
  <si>
    <t>#103</t>
  </si>
  <si>
    <t>Stranger 2</t>
  </si>
  <si>
    <t>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t>
  </si>
  <si>
    <t>Corruption, Calm Male Lead, Smart Male Lead, Suspense, Emotional Blunting, Power Struggle, Strong Female Lead, Strong Male Lead, Policewoman, Alexithymia</t>
  </si>
  <si>
    <t>Jo Seung Woo, Bae Doo Na, Jeon Hye Jin, Choi Moo Sung, Lee Joon Hyuk, Yoon Se Ah</t>
  </si>
  <si>
    <t>#104</t>
  </si>
  <si>
    <t>Designated Survivor</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</si>
  <si>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t>
  </si>
  <si>
    <t xml:space="preserve">Thriller,  Mystery,  Drama,  Political </t>
  </si>
  <si>
    <t>Power Struggle, Conspiracy, Blue House, Lying, Social Commentary, Terrorism, Deception, National Intelligence Service, National Assembly, Death</t>
  </si>
  <si>
    <t>Ji Jin Hee, Son Seok Koo, Kang Han Na, Heo Joon Ho, Lee Joon Hyuk, Choi Yoon Young</t>
  </si>
  <si>
    <t>#105</t>
  </si>
  <si>
    <t>Juvenile Justice</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</si>
  <si>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t>
  </si>
  <si>
    <t>Law, Drama</t>
  </si>
  <si>
    <t>Hardworking Female Lead, Strong Female Lead, Tough Female Lead, Kind Male Lead, Hardworking Male Lead, Redemption, Violence, Runaway Teenager, Justice System, Web Series</t>
  </si>
  <si>
    <t>Kim Hye Soo, Kim Mu Yeol, Lee Sung Min, Lee Jung Eun, Lee Sang Hee, Park Ji Yun</t>
  </si>
  <si>
    <t>#106</t>
  </si>
  <si>
    <t>Cruel City</t>
  </si>
  <si>
    <t>Portrays the cruel life of the drug cartels and the story of revenge for a loved one.</t>
  </si>
  <si>
    <t xml:space="preserve">Action,  Thriller,  Romance,  Crime </t>
  </si>
  <si>
    <t>Badass Male Lead, Gang, Bromance, Strong Female Lead, Gangster, Strong Male Lead, Smart Male Lead, Sismance, Steamy Kiss, Drug Dealer</t>
  </si>
  <si>
    <t>Jung Kyung Ho, Nam Gyu Ri, Lee Jae Yoon, Son Chang Min, Kim Yoo Mi, Choi Moo Sung</t>
  </si>
  <si>
    <t>#107</t>
  </si>
  <si>
    <t xml:space="preserve">My Perfect Stranger </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</si>
  <si>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t>
  </si>
  <si>
    <t>Mystery, Romance, Drama, Sci-Fi</t>
  </si>
  <si>
    <t xml:space="preserve">Murder, Time Travel, Investigation, 1980s, Death, Calm Male Lead, Smart Male Lead, Age Gap [Drama Life], Age Gap [Real Life], News Presenter Male Lead </t>
  </si>
  <si>
    <t>Kim Dong Wook, Jin Ki Joo, Seo Ji Hye, Lee Won Jung</t>
  </si>
  <si>
    <t>#108</t>
  </si>
  <si>
    <t>My Love from the Star</t>
  </si>
  <si>
    <t>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t>
  </si>
  <si>
    <t xml:space="preserve">Comedy,  Romance,  Drama,  Supernatural </t>
  </si>
  <si>
    <t>Alien, Interspecies Romance, Famous Actress, Celebrity, Professor, Sassy Female Lead, Superhuman Strength, Time Manipulation, Cyberbullying, Star Crossed Lovers</t>
  </si>
  <si>
    <t>Kim Soo Hyun, Jun Ji Hyun, Park Hae Jin, Yoo In Na, Shin Sung Rok, Kim Chang Wan</t>
  </si>
  <si>
    <t>#109</t>
  </si>
  <si>
    <t>Mystic Pop-Up Bar</t>
  </si>
  <si>
    <t>â€œMystic Pop-Up Barâ€ is based on a popular webtoon of the same name and tells the story of a mysterious pojangmacha (outdoor drinking establishment) run by a prickly woman and an innocent part-timer who visit customers in their dreams to help resolve their problems.</t>
  </si>
  <si>
    <t xml:space="preserve">Mystery,  Comedy,  Family,  Fantasy </t>
  </si>
  <si>
    <t>Afterlife, Tragic Past, Grudge, Hot-tempered Female Lead, Spirit, Adapted From A Webtoon, Special Power, Family Relationship, Flashback To Past, Food</t>
  </si>
  <si>
    <t>Hwang Jung Eum, Yook Sung Jae, Choi Won Young, Jung Da Eun, Lee Joon Hyuk, Na In Woo</t>
  </si>
  <si>
    <t>#110</t>
  </si>
  <si>
    <t>Age of Youth</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</si>
  <si>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t>
  </si>
  <si>
    <t xml:space="preserve">Friendship,  Romance,  Life,  Youth </t>
  </si>
  <si>
    <t>Housemates, Female Centered Plot, Sismance, Multiple Mains, College Life, Coming Of Age, Strong Female Lead, Strong Female Characters, Hardworking Female Lead, Multiple Couples</t>
  </si>
  <si>
    <t>Han Ye Ri, Ryu Hwa Young, Park Eun Bin, Han Seung Yeon, Park Hye Soo, Yoon Park</t>
  </si>
  <si>
    <t>#111</t>
  </si>
  <si>
    <t>Just Between Lovers</t>
  </si>
  <si>
    <t xml:space="preserve">A major accident takes the lives of 48 people. The lives of the survivors, those who lost loved ones and those connected to the parties blamed for the tragic event are also marked forever. </t>
  </si>
  <si>
    <t xml:space="preserve">Psychological,  Romance,  Melodrama </t>
  </si>
  <si>
    <t>Trauma, Healing, Survivor Guilt, Hardworking Female Lead, Strong Female Lead, Tearjerker, Hardworking Male Lead, Phobia, Disaster, Poor Male Lead</t>
  </si>
  <si>
    <t>Lee Jun Ho, Won Jin Ah, Lee Ki Woo, Kang Han Na, Kim Hye Joon, Yoon Se Ah</t>
  </si>
  <si>
    <t>#112</t>
  </si>
  <si>
    <t>Save Me</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</si>
  <si>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t>
  </si>
  <si>
    <t>Cult, Adapted From A Webtoon, Church, Strong Female Lead, Bromance, School Bullying, Smart Female Lead, Deception, Strong Male Lead, Ex-convict</t>
  </si>
  <si>
    <t>Seo Yea Ji, Ok Taec Yeon, Woo Do Hwan, Jo Sung Ha, Jo Jae Yoon, Park Ji Young</t>
  </si>
  <si>
    <t>#113</t>
  </si>
  <si>
    <t>Bad and Crazy</t>
  </si>
  <si>
    <t>Soo Yeol, the competent â€˜bad boyâ€™ on the police squad, regains his humanity after meeting K, the righteous but â€˜crazyâ€™ guy. Despite having a mere high school diploma, Soo Yeol is an accomplished member of the Anti Corruption Unit. Heâ€™s ambitious, so he chooses pet cases of his superiors and produces their desired outcomes. Often that means turning a blind eye to injustice, especially if it stands in the way of those preferred results. With promotion time looming and without anyoneâ€™s backing, Soo Yeol fears exclusion once again. Congressman Do Yoo Gon had given him some hope of advancement but dashed when the righteous but crazy K entered his life. What can go wrong when the bad boy and the crazy guy join forces?</t>
  </si>
  <si>
    <t>Injustice, Corruption, Investigation, Eccentric Male Lead, Strong Male Lead, Antihero, Strong Female Lead, Slight Romance, Bromance, Suspense</t>
  </si>
  <si>
    <t>Lee Dong Wook, Wi Ha Joon, Han Ji Eun, Cha Hak Yeon, Sung Ji Ru, Cha Shi Won</t>
  </si>
  <si>
    <t>#114</t>
  </si>
  <si>
    <t>A story where ten people get the chance to go back in time by one year, but unexpectedly mysterious situations start to arise when their fates are changed and twisted in the process.</t>
  </si>
  <si>
    <t xml:space="preserve">Thriller,  Mystery,  Drama,  Fantasy </t>
  </si>
  <si>
    <t>Strong Female Lead, Time Travel, Nice Male Lead, Suspense, Murder, Detective, Fate, Supernatural, Accident, Webtoon Writer</t>
  </si>
  <si>
    <t>Lee Joon Hyuk, Nam Ji Hyun, Kim Jee Soo, Lee Sung Wook, Yoon Joo Sang, Ahn Seung Gyun</t>
  </si>
  <si>
    <t>#115</t>
  </si>
  <si>
    <t>The Master's Sun</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</si>
  <si>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FranÃ§ais EspaÃ±ol PortuguÃªs</t>
  </si>
  <si>
    <t xml:space="preserve">Horror,  Comedy,  Romance,  Supernatural </t>
  </si>
  <si>
    <t>Ghost, Eccentric Female Lead, Rich Male Lead, Clingy Female Lead, Successful Male Lead, Obsession, Tragic Past, Trauma, Secondary Couple, Eccentric Male Lead</t>
  </si>
  <si>
    <t>Gong Hyo Jin, So Ji Sub, Seo In Guk, Kim Yoo Ri, Choi Jung Woo, Kim  Mi Kyung</t>
  </si>
  <si>
    <t>#116</t>
  </si>
  <si>
    <t>Avengers Social Club</t>
  </si>
  <si>
    <t>Features three women from different walks of life coming together for revenge: a middle-aged fish store owner who envisioned a better life for herself, a housewife, and an heiress who was raised like a delicate greenhouse flower. Theyâ€™re an unlikely trio who would never otherwise meet, but they join forces to carry out their individual revenge. Although they start out as co-conspirators, along the way theyâ€™ll build a strong friendship.</t>
  </si>
  <si>
    <t xml:space="preserve">Friendship,  Comedy,  Life,  Drama </t>
  </si>
  <si>
    <t>Revenge, Sismance, Female Centered Plot, Strong Female Lead, Strong Female Characters, Healing, Smart Male Lead, Mother-Son Relationship, Mother-Daughter Relationship, Tragic Past</t>
  </si>
  <si>
    <t>Lee Yo Won, Ra Mi Ran, Myung Se Bin, Lee Jun Young, Choi Byung Mo, Jang Yong</t>
  </si>
  <si>
    <t>#117</t>
  </si>
  <si>
    <t>Rebel</t>
  </si>
  <si>
    <t>8.5</t>
  </si>
  <si>
    <t>â€œThe culprit who is posing as a royal official is not stealing wealth. He is stealing the hearts and minds of your people, Your Majesty.â€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</si>
  <si>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Action,  Thriller,  Historical,  Romance </t>
  </si>
  <si>
    <t>Rebellion, Joseon Dynasty, Strong Male Lead, Smart Male Lead, Corruption, Slave, Discrimination, Bromance, Superhuman Strength, Revenge</t>
  </si>
  <si>
    <t>Yoon Kyun Sang, Chae Soo Bin, Kim Ji Suk, Lee Ha Nee, Kim Sang Joong, Shim Hee Sub</t>
  </si>
  <si>
    <t>#118</t>
  </si>
  <si>
    <t>Chief Detective 1958</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</si>
  <si>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</si>
  <si>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</si>
  <si>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</si>
  <si>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t>
  </si>
  <si>
    <t>#119</t>
  </si>
  <si>
    <t>Nobody Knows</t>
  </si>
  <si>
    <t>Detective Young Jin, from the regional investigation unit, has only one thing on her mind: to catch the 'Stigmata' serial killer that murdered her friend 19 years ago. She carries guilt and trauma over the event. She has no friends and lives alone. Her downstairs neighborâ€™s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Hoâ€™s homeroom teacher, Sun Woo, the both begin to uncover that Eun Hoâ€™s injuries were no accident. Edit Translation  English Ð ÑƒÑÑÐºÐ¸Ð¹ Italiano EspaÃ±ol</t>
  </si>
  <si>
    <t xml:space="preserve">Thriller,  Mystery,  Drama,  Melodrama </t>
  </si>
  <si>
    <t>Strong Female Lead, Smart Female Lead, Unusual Friendship, Murder, Death, Strong Friendship, Guilt, Calm Female Lead, Serial Killer, Trauma</t>
  </si>
  <si>
    <t>Kim Seo Hyung, Ryu Deok Hwan, Park Hoon, Ahn Ji Ho, Min Jin Woong, Kang Ye Won</t>
  </si>
  <si>
    <t>#120</t>
  </si>
  <si>
    <t>Bad Guys</t>
  </si>
  <si>
    <t xml:space="preserve">To combat rising violent crimes, the Police Chief asks Detective Oh Goo Tak to form a team consisting of criminals. </t>
  </si>
  <si>
    <t xml:space="preserve">Action,  Thriller,  Psychological,  Crime </t>
  </si>
  <si>
    <t>Psychopath, Murder, Teamwork, Serial Killer, Strong Male Lead, Gangster, Smart Male Lead, Skilled Killer, Violence, Death</t>
  </si>
  <si>
    <t>Kim Sang Joong, Park Hae Jin, Jo Dong Hyuk, Ma Dong Seok, Kang Ye Won, Kang Shin Il</t>
  </si>
  <si>
    <t>#121</t>
  </si>
  <si>
    <t>Beautiful World</t>
  </si>
  <si>
    <t>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t>
  </si>
  <si>
    <t xml:space="preserve">Life,  School,  Family,  Melodrama </t>
  </si>
  <si>
    <t>School Bullying, Family Relationship, Coma, Tearjerker, Sibling, Student, Psychopath, High School, Married Couple, Strong Female Lead</t>
  </si>
  <si>
    <t>Park Hee Soon , Choo Ja Hyun, Oh Man Suk, Cho Yeo Jung, Nam  Da Reum , Kim Hwan Hee</t>
  </si>
  <si>
    <t>#122</t>
  </si>
  <si>
    <t>Marry My Husband</t>
  </si>
  <si>
    <t>Kang Ji Wonâ€™s marriage to Park Min Hwan is strained due to his selfishness, unemployment, and a domineering mother. Ji Won is the family's sole breadwinner and does all the household chores. When she is diagnosed with terminal cancer, her world shatters further as she discovers her husbandâ€™s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t>
  </si>
  <si>
    <t>Comedy, Romance, Drama, Fantasy</t>
  </si>
  <si>
    <t>Time Travel, Infidelity, Revenge, Gaslighting, Betrayal, Time Altering, Betrayed By A Friend, Male Chases Female First, Nice Female Lead, Cancer</t>
  </si>
  <si>
    <t>Park Min Young, Na In Woo, Lee Yi Kyung, Song Ha Yoon</t>
  </si>
  <si>
    <t>#123</t>
  </si>
  <si>
    <t>Arthdal Chronicles Part 1</t>
  </si>
  <si>
    <t>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t>
  </si>
  <si>
    <t>Power Struggle, Multiple Mains, Curse, Hidden Identity, Identical Twins, Strong Female Lead, War, Orphan Male Lead, Slavery, Shamanism</t>
  </si>
  <si>
    <t>Song Joong Ki, Kim Ji Won, Jang Dong Gun, Kim Ok Bin, Kim Eui Sung, Lee Do Kyung</t>
  </si>
  <si>
    <t>#124</t>
  </si>
  <si>
    <t>Kairos</t>
  </si>
  <si>
    <t>Living a precarious life as a part-timer at a convenience store, Ae Ri strives to support her mother who is on a waiting list for a heart transplant. Unfortunately, her motherâ€™s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wifeâ€™s suicide. On the verge of breaking down, he is given an opportunity to restore everything that was lost under one condition, help from a strange woman. To bring his daughter and wife back to life, he makes a phone call as the clock strikes 10:33.</t>
  </si>
  <si>
    <t xml:space="preserve">Action,  Thriller,  Drama,  Sci-Fi </t>
  </si>
  <si>
    <t>Time Altering, Past And Present, Hardworking Male Lead, Smart Male Lead, Family Secret, Rich Male Lead, Betrayal, Gaslighting, Different Timelines, Successful Male Lead</t>
  </si>
  <si>
    <t>Shin Sung Rok, Lee Se Young, Ahn Bo Hyun, Nam Gyu Ri, Kang Seung Yoon, Jo Dong In</t>
  </si>
  <si>
    <t>#125</t>
  </si>
  <si>
    <t>I Hear Your Voice</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</si>
  <si>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peopleâ€™s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</si>
  <si>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Mystery,  Law,  Romance,  Supernatural </t>
  </si>
  <si>
    <t>Special Power, Revenge, Smart Female Lead, Trauma, Strong Female Lead, Older Woman/Younger Man, Male Chases Female First, Age Gap, Mind Reading, Cohabitation</t>
  </si>
  <si>
    <t>Lee Jong Suk, Lee Bo Young, Yoon Sang Hyun, Lee Da Hee, Jung Woong In, Yoon Joo Sang</t>
  </si>
  <si>
    <t>#126</t>
  </si>
  <si>
    <t>What's Wrong with Secretary Kim</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</si>
  <si>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t>
  </si>
  <si>
    <t xml:space="preserve">Friendship,  Business,  Comedy,  Romance </t>
  </si>
  <si>
    <t>Adapted From A Webtoon, Steamy Kiss, Male Chases Female First, Boss-Employee Relationship, Office Romance, Rich Male Lead, Calm Female Lead, Trauma, Smart Female Lead, Secretary</t>
  </si>
  <si>
    <t>Park Min Young, Park Seo Joon, Lee Tae Hwan, Pyo Ye Jin, Kim Hye Ok, Kim Byung Ok</t>
  </si>
  <si>
    <t>#127</t>
  </si>
  <si>
    <t>Vagabond</t>
  </si>
  <si>
    <t xml:space="preserve">Cha Dal Gun becomes an awakened tiger in the face of his nephewâ€™s death in a mysterious plane crash. As an orphan himself, he had raised his nephew singlehandedly in place of his brother who had passed on. Triggered by the large-scale cover-up of the incident, he sets off on a journey to discover the truth. </t>
  </si>
  <si>
    <t xml:space="preserve">Action,  Thriller,  Mystery,  Crime </t>
  </si>
  <si>
    <t>Plane Crash, Revenge, National Intelligence Service, Corruption, Agent, Death Of A Child, Death, Spy, Strong Male Lead, Terrorist</t>
  </si>
  <si>
    <t>Lee Seung Gi, Bae Suzy, Shin Sung Rok, Baek  Yoon Shik, Moon Sung Geun, Kim Min Jong</t>
  </si>
  <si>
    <t>#128</t>
  </si>
  <si>
    <t>One Ordinary Day</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</si>
  <si>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t>
  </si>
  <si>
    <t>Thriller, Mystery, Law, Crime</t>
  </si>
  <si>
    <t>Murder, Investigation, Brief Nudity, Sexual Content, Death, Student, Lawyer Male Lead, Drug Usage, Trial, Violence</t>
  </si>
  <si>
    <t>Kim Soo Hyun, Cha Seung Won, Lee Seol, Kim Shin Rok, Kim Hong Pa, Kim Sung Gyu</t>
  </si>
  <si>
    <t>#129</t>
  </si>
  <si>
    <t>Reply 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</si>
  <si>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</si>
  <si>
    <t xml:space="preserve">Comedy,  Romance,  Life,  Family </t>
  </si>
  <si>
    <t>Childhood Friends, High School, 1990s, Strong Friendship, First Love, Best Friends, Friends To Lovers, Bromance, Love Square, Unrequited Love</t>
  </si>
  <si>
    <t>Jung Eun Ji, Seo In Guk, Hoya, Shin So Yool, Eun Ji Won, Lee Si Eon</t>
  </si>
  <si>
    <t>#130</t>
  </si>
  <si>
    <t>Doctor John</t>
  </si>
  <si>
    <t xml:space="preserve">â€œDoctor Johnâ€ is a medical drama about doctors specializing in pain management. In a refreshing take on the genre, â€œDoctor Johnâ€ will portray the doctorsâ€™ search for the cause of their patientsâ€™ mysterious pain as a thrilling chase, almost like a detective hunting down the perpetrator behind an unsolved crime. </t>
  </si>
  <si>
    <t xml:space="preserve">Mystery,  Romance,  Life,  Medical </t>
  </si>
  <si>
    <t>Smart Male Lead, Incurable Disease, Eccentric Male Lead, Euthanasia, Hardworking Male Lead, PTSD, Ex-convict, Secret, Trauma, Tragic Past</t>
  </si>
  <si>
    <t>Ji Sung, Lee Se Young, Lee Kyu Hyung, Hwang Hee, Jung Min Ah, Kwon Hwa Woon</t>
  </si>
  <si>
    <t>#131</t>
  </si>
  <si>
    <t>Hi Bye, Mama!</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</si>
  <si>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t>
  </si>
  <si>
    <t>Romance, Drama, Melodrama, Supernatural</t>
  </si>
  <si>
    <t>Mother-Daughter Relationship, Nice Female Lead, Death, Reincarnation, Sismance, Ghost, Heartbreak, Remarriage, Father-Daughter Relationship, Nice Stepmother</t>
  </si>
  <si>
    <t>Kim Tae Hee, Lee Kyu Hyung, Go Bo Gyeol, Seo Woo Jin, Shin Dong Mi, Oh Eui Shik</t>
  </si>
  <si>
    <t>#132</t>
  </si>
  <si>
    <t>Voice</t>
  </si>
  <si>
    <t>Popular detective Moo Jin Hyuk who is filled with guilt for his wifeâ€™s death, works with professional voice profiler Kang Kwon Joo, whose father is killed, to solve a different crime, chasing for the serial killer responsible for the deaths of their family members.</t>
  </si>
  <si>
    <t>Thriller, Mystery, Psychological</t>
  </si>
  <si>
    <t>Strong Female Lead, Murder, Aggressive Male Lead, Special Power, Mad Dog, Death, Investigation, Suspense, Policewoman, Character Development</t>
  </si>
  <si>
    <t>Jang Hyuk, Lee  Ha Na, Baek Sung Hyun, Ye Sung, Son Eun Seo, Kim Jae Wook</t>
  </si>
  <si>
    <t>#133</t>
  </si>
  <si>
    <t>Fight For My Way</t>
  </si>
  <si>
    <t>Can you still go after your dreams without the right background?</t>
  </si>
  <si>
    <t xml:space="preserve">Business,  Comedy,  Romance,  Sports </t>
  </si>
  <si>
    <t>Childhood Friends, Friends To Lovers, Strong Male Lead, Strong Female Lead, Neighbors, Strong Friendship, Personal Growth, Character Development, Secondary Couple, Ex-girlfriend Comes Back</t>
  </si>
  <si>
    <t>Park Seo Joon, Kim Ji Won, Ahn Jae Hong, Song  Ha Yoon, Kim Sung Oh, Jin Hee Kyung</t>
  </si>
  <si>
    <t>#134</t>
  </si>
  <si>
    <t>Squid Game</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</si>
  <si>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â‚©45.6 billion prize in exchange for winning traditional Korean children's games against 455 other players, among them his childhood friend Cho Sang Woo. Commencing the games, the participants soon learn of the deadly consequences that come with losing.</t>
  </si>
  <si>
    <t>Death, Death Game, Poor Male Lead, Extreme Violence, Debt, Gore, Competition, Game Show, Survival, Murder</t>
  </si>
  <si>
    <t>Lee Jung Jae, Park Hae Soo, Jung Ho Yeon, Wi Ha Joon, Anupam Tripathi, Oh Young Soo</t>
  </si>
  <si>
    <t>#135</t>
  </si>
  <si>
    <t>W</t>
  </si>
  <si>
    <t>Oh Sung Moo, the father of cardiothoracic surgeon Oh Yeon Joo, mysteriously goes missing while writing the last chapter of his webtoon "W".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t>
  </si>
  <si>
    <t>Thriller, Comedy, Romance, Fantasy</t>
  </si>
  <si>
    <t>Parallel Dimension, Gun Violence, Crossworlds Traveler, Steamy Kiss, Rich Male Lead, Lovers Separated, Attempted Murder, Murder, Fight, Revenge</t>
  </si>
  <si>
    <t>Han Hyo Joo, Lee Jong Suk, Kim Eui Sung, Lee Tae Hwan, Jung Eugene, Lee Si Eon</t>
  </si>
  <si>
    <t>#136</t>
  </si>
  <si>
    <t>Queen Seon Duk</t>
  </si>
  <si>
    <t>The story of a beautiful queen, who has to give up her love to save the people. A biopic of Queen Seondeok, who was born a princess and later became the ruler of Silla, leaving behind many brilliant achievements.</t>
  </si>
  <si>
    <t>Historical, Romance, Drama, Political</t>
  </si>
  <si>
    <t>Power Struggle, Royalty, Smart Female Lead, Female Antagonist, Hwarang, Military, Cross-Dressing, Silla Dynasty, Sword-fight, Strong Female Lead</t>
  </si>
  <si>
    <t>Lee Yo Won, Go Hyun Jung, Park Ye Jin, Yoo Seung Ho, Kim Nam Gil, Uhm Tae Woong</t>
  </si>
  <si>
    <t>#137</t>
  </si>
  <si>
    <t>Mad for Each Other</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</si>
  <si>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â€œcrazyâ€ person who canâ€™t hold in his anger about anything. Lee Min Kyung is a woman who is caught up in her own delusions and compulsions. She had lived an ordinary life as a pretty woman with a respectable job until â€œthat incidentâ€ that caused everything in her life to break down. As a result, she was unable to trust anyone and is caught in a prison of her own making. Her delusions also have the unfortunate side effect of making everyone else around her angry.</t>
  </si>
  <si>
    <t>Trauma, Enemies To Lovers, Anger Management Issues, Healing, Character Development, Unfortunate Male Lead, Dating Violence, Stalking, Cross-Dressing, Dog</t>
  </si>
  <si>
    <t>Oh Yeon Seo, Jung Woo, Lee Su Hyun, Ahn Woo Yeon, Kim Nam Hee, Baek Ji Won</t>
  </si>
  <si>
    <t>#138</t>
  </si>
  <si>
    <t>Dali and the Cocky Prince</t>
  </si>
  <si>
    <t>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t>
  </si>
  <si>
    <t xml:space="preserve">Comedy,  Romance,  Drama </t>
  </si>
  <si>
    <t>Smart Female Lead, Rich Female Lead, Art Gallery, Rich Male Lead, Multilingual, Bankruptcy, Art, Eccentric Male Lead, Healthy Mainsâ€™ Relationship, Male Chases Female First</t>
  </si>
  <si>
    <t>Park Gyu Young, Kim Min Jae, Kwon Yool, Hwang Hee, Yeonwoo, Park Sang Myun</t>
  </si>
  <si>
    <t>#139</t>
  </si>
  <si>
    <t>Thirty But Seventeen</t>
  </si>
  <si>
    <t>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t>
  </si>
  <si>
    <t>Music, Mystery, Comedy, Romance</t>
  </si>
  <si>
    <t>Cohabitation, Healing, First Love, Coma, Tragic Past, Naive Female Lead, Nice Female Lead, Trauma, Eccentric Male Lead, Nice Male Lead</t>
  </si>
  <si>
    <t>Shin Hye Sun, Yang Se Jong, Ahn Hyo Seop, Ye Ji Won, Wang Ji Won, Yoon Sun Woo</t>
  </si>
  <si>
    <t>#140</t>
  </si>
  <si>
    <t>When the Camellia Blooms</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</si>
  <si>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t>
  </si>
  <si>
    <t xml:space="preserve">Thriller,  Comedy,  Romance,  Drama,  Family </t>
  </si>
  <si>
    <t>Single Mother, Mystery, Motherhood, Serial Killer, Mother-Son Relationship, Hardworking Female Lead, Dorky Male Lead, Male Chases Female First, Nice Male Lead, Independent Female Lead</t>
  </si>
  <si>
    <t>Gong Hyo Jin, Kang Ha Neul, Kim Ji Suk, Son Dam Bi, Oh Jung Se, Yeom Hye Ran</t>
  </si>
  <si>
    <t>#141</t>
  </si>
  <si>
    <t>Be Melodramatic</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</si>
  <si>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t>
  </si>
  <si>
    <t>Comedy, Romance, Life, Melodrama</t>
  </si>
  <si>
    <t>Multiple Mains, Sismance, Strong Female Lead, Multiple Couples, Independent Female Lead, Eccentric Female Lead, Badass Female Lead, Entertainment Industry, Smart Female Lead, Boss-Employee Relationship</t>
  </si>
  <si>
    <t>Chun Woo Hee, Jeon Yeo Been, Han Ji Eun, Ahn Jae Hong, Gong Myung, Lee Joo Bin</t>
  </si>
  <si>
    <t>#142</t>
  </si>
  <si>
    <t>Good Partner</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</si>
  <si>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t>
  </si>
  <si>
    <t>Comedy, Law, Life, Drama</t>
  </si>
  <si>
    <t xml:space="preserve">Workplace Setting, Lawyer Female Lead, Emotionally Strong Female Lead, Co-workers' Relationship, Senior-Junior Relationship, Married Supporting Character, Married Female Lead, Secretary Supporting Character, Team Leader Male Lead, Attorney Female Lead </t>
  </si>
  <si>
    <t>Jang Na Ra, Nam Ji Hyun, Kim Joon Han, P.O</t>
  </si>
  <si>
    <t>#143</t>
  </si>
  <si>
    <t>Itaewon Class</t>
  </si>
  <si>
    <t>Park Saeroyi's life has been turned upside down after he gets expelled from school for punching a bully and his father is killed in an accident. Following his father's steps, he opens a pub named "DanBam" in Itaewon and, along with his manager and staff, strive towards success and reaching greater heights.</t>
  </si>
  <si>
    <t>Revenge, Time Skip, Smart Female Lead, Female Chases Male First, Badass Female Lead, Strong Female Lead, Boss-Employee Relationship, Tragic Past, Nice Male Lead, Adapted From A Webtoon</t>
  </si>
  <si>
    <t>Park Seo Joon, Kim Da Mi, Kwon Na Ra, Yoo Jae Myung, Ahn Bo Hyun, Kim Dong Hee</t>
  </si>
  <si>
    <t>#144</t>
  </si>
  <si>
    <t>Snowdrop</t>
  </si>
  <si>
    <t>In 1987, a bloody man jumps into a womenâ€™s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</si>
  <si>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Romance, Drama, Melodrama, Political</t>
  </si>
  <si>
    <t>1980s, Political Intrigue, Love At First Sight, Dormitory, North And South Korea, Conspiracy, University, Suspense, Student, Impulsive Female Lead</t>
  </si>
  <si>
    <t>Jung Hae In, Kim Ji Soo, Jang Seung Jo, Yoo In Na, Yoon Se Ah, Kim Hye Yoon</t>
  </si>
  <si>
    <t>#145</t>
  </si>
  <si>
    <t>Circle</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</si>
  <si>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t>
  </si>
  <si>
    <t>#146</t>
  </si>
  <si>
    <t>Because This Is My First Life</t>
  </si>
  <si>
    <t>A house-poor man and homeless woman become housemates in a drama that examines the institution of marriage and the problems that young people face today.</t>
  </si>
  <si>
    <t xml:space="preserve">Comedy,  Romance,  Life,  Drama </t>
  </si>
  <si>
    <t>Contract Relationship, Marriage Of Convenience, Housemates, Eccentric Male Lead, Multiple Couples, Cohabitation, Sismance, Nerdy Male Lead, Writer, Multiple Mains</t>
  </si>
  <si>
    <t>Jung So Min, Lee Min Ki, Esom, Park Byung Eun, Kim Ga Eun, Kim Min Seok</t>
  </si>
  <si>
    <t>#147</t>
  </si>
  <si>
    <t>The Princess's Man</t>
  </si>
  <si>
    <t>Princess Se Ryung is the headstrong and forward-thinking daughter of  Grand Prince Su Yang, who is determined to be King. She falls in love with the son of his mortal enemy, and their romance gets caught in the crossfire of her father's quest for the throne.</t>
  </si>
  <si>
    <t>Action, Historical, Romance, Political</t>
  </si>
  <si>
    <t>Forbidden Love, Strong Male Lead, Power Struggle, Strong Female Lead, Family Pressure, Joseon Dynasty, Revenge, Death, Father-Daughter Relationship, Princess Female Lead</t>
  </si>
  <si>
    <t>Park Shi Hoo, Moon Chae Won, Kim Yeong Cheol, Song Jong Ho, Hong Soo Hyun, Lee Min Woo</t>
  </si>
  <si>
    <t>#148</t>
  </si>
  <si>
    <t>Blind</t>
  </si>
  <si>
    <t>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t>
  </si>
  <si>
    <t>Judge Male Lead, Detective Male Lead, Perfectionist Male Lead, Investigation, Suspense, Juror Supporting Character, IT Engineer Supporting Character, Site Manager Supporting Character, Shaman Supporting Character, Production Director (PD) Supporting Character</t>
  </si>
  <si>
    <t>Ok Taec Yeon, Ha Seok Jin, Jung Eun Ji, Jung In Ki, Jung Eui Wook, Park Ji Bin</t>
  </si>
  <si>
    <t>#149</t>
  </si>
  <si>
    <t>Two Weeks</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</si>
  <si>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t>
  </si>
  <si>
    <t>Child Female Lead, Prosecutor Female Lead, Detective Male Lead, Single Father Male Lead, Leukemia, Wrongfully Accused, Slight Romance, Strong Male Lead, Conspiracy, Father-Daughter Relationship</t>
  </si>
  <si>
    <t>Lee Joon Gi, Park Ha Sun, Ryu Soo Young, Kim So Yeon, Lee Chae Mi, Jo  Min Ki</t>
  </si>
  <si>
    <t>#150</t>
  </si>
  <si>
    <t>Work Later, Drink Now</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</si>
  <si>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t>
  </si>
  <si>
    <t>Comedy, Life, Drama</t>
  </si>
  <si>
    <t>Sismance, Adapted From A Webtoon, Drinking, Friendship, Confident Female Lead, Suicide, Death, Workplace Abuse, Instructor Female Lead, Screenwriter Female Lead</t>
  </si>
  <si>
    <t>Lee Sun Bin, Han Sun Hwa, Jung Eun Ji, Choi Si Won, Kim Jung Min, Yoo Ji Yeon</t>
  </si>
  <si>
    <t>#151</t>
  </si>
  <si>
    <t>Dong Yi</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</si>
  <si>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t>
  </si>
  <si>
    <t>Adventure, Historical, Mystery, Romance</t>
  </si>
  <si>
    <t>Harem, Joseon Dynasty, Investigation, King Male Lead, Skilled Fighter, Hidden Past, Noble Sacrifice, Skilled Killer, Orphan Female Lead, Royalty</t>
  </si>
  <si>
    <t>Han Hyo Joo, Ji Jin Hee, Lee So Yeon, Bae Soo Bin, Park Ha Sun, Jung Jin Young</t>
  </si>
  <si>
    <t>#152</t>
  </si>
  <si>
    <t>Gaus Electronics</t>
  </si>
  <si>
    <t>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coworkersâ€™ moods, causing trouble as a result! There is also Cha Na Rae, the hot-tempered assistant manager! Also among their number is Baek Ma Tan, the heir of the owners of Gaus Electronicsâ€™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</si>
  <si>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Business, Comedy, Romance, Life</t>
  </si>
  <si>
    <t>Office Setting, Hot-tempered Female Lead, Weak Male Lead, Workplace Setting, Workplace Politics, Office Worker Female Lead, Office Worker Male Lead, Heir Male Lead, Secretary Supporting Character, Age Gap [Real Life]</t>
  </si>
  <si>
    <t>Kwak Dong Yeon, Go Sung Hee, Bae Hyun Sung, Kang  Min Ah, Baek Hyun Jin, Heo Jung Do</t>
  </si>
  <si>
    <t>#153</t>
  </si>
  <si>
    <t>Angel's Last Mission: Love</t>
  </si>
  <si>
    <t>Lee Yeon Seo, is a cynical and arrogant ballerina. She is the prima ballerina, but after an accident she has to give up her dream. After her parents' sudden death, she doesnâ€™t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</si>
  <si>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Nice Male Lead, Warm Man/Cold Woman, Orphan Female Lead, Strong Female Lead, Opposites Attract, Ballet, Rich Female Lead, Tearjerker, Male Chases Female First, Cohabitation</t>
  </si>
  <si>
    <t>Kim Myung Soo, Shin Hye Sun, Lee Dong Gun, Kim  Bo Mi, Woo Hee Jin, Gil Eun Hye</t>
  </si>
  <si>
    <t>#154</t>
  </si>
  <si>
    <t>The World of the Married</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</si>
  <si>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t>
  </si>
  <si>
    <t>Thriller, Romance, Drama, Melodrama</t>
  </si>
  <si>
    <t>Extramarital Affair, Revenge, Strong Female Lead, Lying, Sexual Content, Successful Female Lead, Friends To Enemies, Pregnancy, Psychological, Suspense</t>
  </si>
  <si>
    <t>Kim Hee Ae, Park Hae Joon, Han So Hee, Park Sun Young, Kim Young Min, Chae Gook Hee</t>
  </si>
  <si>
    <t>#155</t>
  </si>
  <si>
    <t xml:space="preserve">Pyramid Game </t>
  </si>
  <si>
    <t xml:space="preserve">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t>
  </si>
  <si>
    <t>Action, Thriller, Psychological, Drama</t>
  </si>
  <si>
    <t xml:space="preserve">School Bullying, Female Centered Plot, Abuse Of Power, Manipulative Female Lead, Rival Groups, Smart Female Lead, High School, Adapted From A Webtoon, Friendship, School Setting </t>
  </si>
  <si>
    <t>Bona,Jang Da A, Ryu Da In, Kang Na Eon</t>
  </si>
  <si>
    <t>#156</t>
  </si>
  <si>
    <t>All of Us Are Dead</t>
  </si>
  <si>
    <t>A high school becomes ground zero for a zombie virus outbreak. Trapped students must fight their way out â€” or turn into one of the rabid infected.</t>
  </si>
  <si>
    <t>Action, Thriller, Horror, Sci-Fi</t>
  </si>
  <si>
    <t>Survival, Zombies, Death, Zombie Apocalypse, Virus, High School, Student, Gore, School, Adapted From A Webtoon</t>
  </si>
  <si>
    <t>Park Ji Hoo, Yoon Chan Young, Jo Yi Hyun, Lomon, Yoo In Soo, Kim Byung Chul</t>
  </si>
  <si>
    <t>#157</t>
  </si>
  <si>
    <t>Extracurricular</t>
  </si>
  <si>
    <t>"Extracurricularâ€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Sooâ€™s crime. Park Joo Hyun will portray Ji Sooâ€™s dangerous partner in crime Gyu Ri, while Nam Yoon Soo will appear as Min Heeâ€™s boyfriend and the schoolâ€™s most popular guy Ki Tae.</t>
  </si>
  <si>
    <t>Psychological, Crime, Youth, Drama</t>
  </si>
  <si>
    <t>Prostitution, Illegal Business, Student, High School, Greed, Sex Trafficking, Smart Male Lead, Rich Female Lead, Violence, Strong Female Lead</t>
  </si>
  <si>
    <t>Kim Dong Hee, Park Ju Hyun, Jung Da Bin, Nam Yoon Su, Choi Min Soo, Park Hyuk Kwon</t>
  </si>
  <si>
    <t>#158</t>
  </si>
  <si>
    <t>Yumi's Cells</t>
  </si>
  <si>
    <t xml:space="preserve">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t>
  </si>
  <si>
    <t>Career Woman, Slice Of Life, Friendship, Mixed Live Action-Animation, Office Worker, Workplace, Adapted From A Webtoon, Honest Male Lead, Game Developer, Personal Growth</t>
  </si>
  <si>
    <t>Kim Go Eun, Ahn Bo Hyun, Park Ji Hyun, Lee Yoo Bi, Joo Jong Hyuk, Park Jin Young</t>
  </si>
  <si>
    <t>#159</t>
  </si>
  <si>
    <t>Lost</t>
  </si>
  <si>
    <t>8.4</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</si>
  <si>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t>
  </si>
  <si>
    <t>Life, Drama, Melodrama</t>
  </si>
  <si>
    <t>Slow Burn Story, Depression, Philosophical, Father-Daughter Relationship, Friendship, Social Realism, Miscarriage, Older Woman/Younger Man, Hardworking Female Lead, Healing</t>
  </si>
  <si>
    <t>Jeon Do Yeon, Ryu Joon Yeol, Park Byung Eun, Kim Hyo Jin, Park Ji Young, Park In Hwan</t>
  </si>
  <si>
    <t>#160</t>
  </si>
  <si>
    <t>The Atypical Family</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</si>
  <si>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t>
  </si>
  <si>
    <t>Supernatural Power, Time Travel, Supernatural, Age Gap [Real Life], Older Man/Younger Woman, Rich Man/Poor Woman, Cunning Female Lead, Single Father Male Lead, Flashback To Past, Family Relationship</t>
  </si>
  <si>
    <t>Jang Ki Yong, Chun Woo Hee</t>
  </si>
  <si>
    <t>#161</t>
  </si>
  <si>
    <t>Queen In Hyun's Man</t>
  </si>
  <si>
    <t>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t>
  </si>
  <si>
    <t>Historical, Comedy, Romance, Fantasy</t>
  </si>
  <si>
    <t>Time Travel, Smart Male Lead, Joseon Dynasty, Calm Male Lead, Nice Male Lead, Amnesia, Height Difference, Famous Lead/Common Lead, Past And Present, Fate</t>
  </si>
  <si>
    <t>Ji Hyun Woo, Yoo In Na, Kim Jin Woo, Ga Deuk Hee, Seo Woo Jin, Kim Won Hae</t>
  </si>
  <si>
    <t>#162</t>
  </si>
  <si>
    <t>One Dollar Lawyer</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</si>
  <si>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Prosecutorâ€™s Assistant. Confident and self-assured, she is also a lawyer with her grandfather Baek Hyun Mu's renowned Baek Law Firm. Ma Riâ€™s life has been going smoothly, but her life changes when she meets Cheon Ji Hun.</t>
  </si>
  <si>
    <t>Comedy, Law, Drama</t>
  </si>
  <si>
    <t>Lawyer Male Lead, Former Prosecutor Male Lead, Prosecutor Supporting Character, Lawyer Supporting Character, Slight Romance, Smart Female Lead, Rich Female Lead, Smart Male Lead, Poor Male Lead, Investigation</t>
  </si>
  <si>
    <t>Namkoong Min, Kim Ji Eun, Choi Dae Hoon, Lee Deok Hwa, Park Jin Woo, Ha Sung Kwang</t>
  </si>
  <si>
    <t>#163</t>
  </si>
  <si>
    <t>If You Wish Upon Me</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</si>
  <si>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Reeâ€™s life around? Or is it too late to change his destiny?</t>
  </si>
  <si>
    <t>Romance, Life, Drama, Medical</t>
  </si>
  <si>
    <t>Healing, Terminal Illness, Hospice Care, Nurse Female Lead, Tearjerker, Tragic Past, Character Development, Strong Female Lead, Hardship, Dysfunctional Family</t>
  </si>
  <si>
    <t>Ji Chang Wook, Choi Soo Young, Sung Dong Il, Won Ji An, Yang Hee Kyung, Kil Hae Yeon</t>
  </si>
  <si>
    <t>#164</t>
  </si>
  <si>
    <t>I'm Not a Robot</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</si>
  <si>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t>
  </si>
  <si>
    <t>Comedy, Romance, Drama, Sci-Fi</t>
  </si>
  <si>
    <t>Haphephobia, Hidden Identity, Rich Male Lead, Robot, Eccentric Male Lead, Double Identity, Sismance, Hardworking Female Lead, Healing, Forgiveness</t>
  </si>
  <si>
    <t>Yoo Seung Ho, Chae Soo Bin, Uhm Ki Joon, Park Se Wan, Song Jae Ryong, Go Geon Han</t>
  </si>
  <si>
    <t>#165</t>
  </si>
  <si>
    <t>Memorist</t>
  </si>
  <si>
    <t>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matchâ€”a serial killer with abilities that transcend theirs combined. It's going to be a fight worth watching.</t>
  </si>
  <si>
    <t>Adapted From A Webtoon, Smart Female Lead, Eccentric Male Lead, Supernatural Power, Calm Female Lead, Investigation, Cult, Aggressive Male Lead, Violence, Murder</t>
  </si>
  <si>
    <t>Yoo Seung Ho, Lee Se Young, Jo Sung Ha, Ko Chang Seok, Yun Ji On, Jeon Hyo Sung</t>
  </si>
  <si>
    <t>#166</t>
  </si>
  <si>
    <t>Voice 2</t>
  </si>
  <si>
    <t>Listen closely, because skilled voice profiler Kang Kwon Joo is back. Working tirelessly at the Emergency Call Center, she uses her first-rate hearing to save lives and catch culprits. When it comes to responding to emergencies within the vital â€œgolden time,â€ Kang Kwon Joo is simply the best. Do Kang Woo is a mysterious man whoâ€™s able to tap into the mind of a criminal. He also hides a secret pain that he doesnâ€™t share with anyone. When he meets Kang Kwon Joo, they reluctantly form a team. She can hear crime</t>
  </si>
  <si>
    <t>#167</t>
  </si>
  <si>
    <t>Doom at Your Service</t>
  </si>
  <si>
    <t>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t>
  </si>
  <si>
    <t>Terminal Illness, Illness, Brain Cancer, Hardworking Female Lead, Unlucky Female Lead, Glioblastoma, First Love, Eccentric Male Lead, Brother-Sister Relationship, Fate</t>
  </si>
  <si>
    <t>Park Bo Young, Seo In Guk, Lee Soo Hyuk, Kang Tae Oh, Shin Do Hyun, Dawon</t>
  </si>
  <si>
    <t>#168</t>
  </si>
  <si>
    <t>Duel</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</si>
  <si>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t>
  </si>
  <si>
    <t>Thriller, Mystery, Sci-Fi</t>
  </si>
  <si>
    <t>Amnesia, Human Experimentation, Kidnapping, Tragic Past, Father-Daughter Relationship, Bromance, Investigation, Suspense, Revenge, Murder</t>
  </si>
  <si>
    <t>Jung Jae Young, Kim Jung Eun, Yang Se Jong, Seo Eun Soo, Kim Ki Doo, Yoon Gyung Ho</t>
  </si>
  <si>
    <t>#169</t>
  </si>
  <si>
    <t>Search: WWW</t>
  </si>
  <si>
    <t>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t>
  </si>
  <si>
    <t>Business, Comedy, Romance, Drama</t>
  </si>
  <si>
    <t>Successful Female Lead, Smart Female Lead, Strong Female Lead, Independent Female Lead, Sismance, Social Media, Older Woman/Younger Man, Teamwork, Competition, Data Manipulation</t>
  </si>
  <si>
    <t>Im Soo Jung, Lee Da Hee, Jeon Hye Jin, Jang Ki Yong, Lee Jae Wook, Ji Seung Hyun</t>
  </si>
  <si>
    <t>#170</t>
  </si>
  <si>
    <t>From Now On, Showtime!</t>
  </si>
  <si>
    <t>Cha Cha Woong is a popular if somewhat sardonic stage and TV magician with a taste for the spectacular. His tricks dazzle audiences, but little do most people know â€“ he has a gang of secret helpers! However, these are no ordinary magicianâ€™s assistants: They are actually ghosts. But Cha Cha Woong is not afraid of beings from the spirit realm â€“ in fact, he treats them as his employees...and they, in turn, believe him to be their â€œboss.â€ One day, his path crosses with that of Go Seul Hae, a young, passionate police officer. He attempts to brush her off when she investigates an incident connected to one of his magic shows. But she soon realizes that the magicianâ€™s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t>
  </si>
  <si>
    <t>Mystery, Comedy, Romance, Fantasy</t>
  </si>
  <si>
    <t>Supernatural, Ghost, Investigation, Magician Male Lead, Police Officer Female Lead, Ghost-seeing Male Lead, Slow Burn Romance, Special Power, Ghost Supporting Character, Love Triangle</t>
  </si>
  <si>
    <t>Park Hae Jin, Jin Ki Joo, Jung Joon, Go Gyu Pil, Jung Suk Yong, Park Seo Yeon</t>
  </si>
  <si>
    <t>#171</t>
  </si>
  <si>
    <t>Hello Monster</t>
  </si>
  <si>
    <t>Genius profiler Lee Hyun, returns home to Korea after something from a case heâ€™s been sent triggers a memory he thought heâ€™d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theyâ€™ve been drawn into a dangerous game of cat and mouse by a master player and that both truth and evil are closer and far more twisted than they think.</t>
  </si>
  <si>
    <t>Thriller, Mystery, Psychological, Drama</t>
  </si>
  <si>
    <t>Smart Male Lead, Investigation, Hidden Identity, Female Chases Male First, Eccentric Male Lead, Slight Romance, Bromance, Calm Male Lead, Hardworking Female Lead, Cold Man/Warm Woman</t>
  </si>
  <si>
    <t>Seo In Guk, Jang Na Ra, Park Bo Gum, Choi Won Young, Lee Chun Hee, Min Sung Wook</t>
  </si>
  <si>
    <t>#172</t>
  </si>
  <si>
    <t>Parasyte: The Grey</t>
  </si>
  <si>
    <t>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Greyâ€™ and lives only to exterminate the parasitic water after losing her husband to the parasitic water.</t>
  </si>
  <si>
    <t>Action, Mystery, Horror, Sci-Fi</t>
  </si>
  <si>
    <t xml:space="preserve">Adapted From A Manga, Parasite, Gore, Violence, Supernatural Being, Survival, Investigation, Thriller, Conspiracy, Death </t>
  </si>
  <si>
    <t>Jeon So Nee, Koo Kyo Hwan, Lee Jung Hyun</t>
  </si>
  <si>
    <t>#173</t>
  </si>
  <si>
    <t>Moon Embracing the Sun</t>
  </si>
  <si>
    <t>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t>
  </si>
  <si>
    <t>Historical, Romance, Supernatural, Political</t>
  </si>
  <si>
    <t>Lovers Separated, Amnesia, Power Struggle, Hidden Identity, Joseon Dynasty, First Love, Black Magic, Time Skip, Male Chases Female First, Brother-Sister Relationship</t>
  </si>
  <si>
    <t>Han Ga In, Kim Soo Hyun, Jung Il Woo, Kim Min Seo, Kim Yoo Jung, Yeo Jin Goo</t>
  </si>
  <si>
    <t>#174</t>
  </si>
  <si>
    <t>Train</t>
  </si>
  <si>
    <t>Haunted by the thought that his drunkard father killed another man before also dying on the same day and not paying for his crime, Seo Do Won lives his life trying to secretly repay Han Seo Kyung for his fatherâ€™s sin while hiding the truth. He is now a detective who overworks to escape his guilt, and she is a prosecutor who is still looking for her fatherâ€™s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</si>
  <si>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Parallel Dimension, Suspense, Murder, Death, Tough Female Lead, Slight Romance, Strong Male Lead, Crossworlds Traveler, First Love, Orphan Female Lead</t>
  </si>
  <si>
    <t>Yoon Shi Yoon, Kyung Soo Jin, Shin So Yool, Lee Hang Na, Nam Moon Chul, Jo Wan Ki</t>
  </si>
  <si>
    <t>#175</t>
  </si>
  <si>
    <t>Sh**ting Stars</t>
  </si>
  <si>
    <t>As one of the nationâ€™s most beloved stars, Gong Tae Sung is used to living his life in the spotlight. With the eyes of the world constantly on him, Tae Sung does his best to keep a smile on his face and his temper in check. Seen by the people as a kind and polite young man, the only people who donâ€™t buy into his whole good guy persona are those working for his management company. As the head of that companyâ€™s PR team, Oh Han Byeol knows exactly what Tae Sung is really like. Well aware of his strong desire to win and his hot temper, Han Byeol has had to employ her excellent speech and crisis management skills on a number of occasions, in order to keep Tae Sungâ€™s reputation as spotless as it seems. Constantly bickering, there isnâ€™t anyone in the world better suited to the role of natural enemies than Han Byeol and Tae Sung. Forever at odds with each other, Tae Sung and Han Byeol seem destined to hate each other forever. But could the time theyâ€™re forced to spend together change those feelings or will their mutual loathing last for all eternity?</t>
  </si>
  <si>
    <t>Entertainment Industry, Famous Male Lead, Multiple Mains, Enemies To Lovers, Love/Hate Relationship, Actor Male Lead, Multiple Couples, PR Specialist Female Lead, Actor/Actress Supporting Character, Reporter Female Lead</t>
  </si>
  <si>
    <t>Lee Sung Kyung, Kim Young Dae, Yoon Jong Hoon, Kim Yoon Hye, Park So Jin, Lee Jung Shin</t>
  </si>
  <si>
    <t>#176</t>
  </si>
  <si>
    <t>The Crowned Clown</t>
  </si>
  <si>
    <t>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t>
  </si>
  <si>
    <t>Historical, Romance, Melodrama, Political</t>
  </si>
  <si>
    <t>Double Identity, Joseon Dynasty, Noble Woman/Common Man, Identity Swap, Power Struggle, Nice Male Lead, Doppelganger, Revenge, Rebellion, Poor Male Lead</t>
  </si>
  <si>
    <t>Yeo Jin Goo, Lee Se Young, Kim Sang Kyung, Jang Gwang, Yoon Jong Seok, Yoon Gyung Ho</t>
  </si>
  <si>
    <t>#177</t>
  </si>
  <si>
    <t>Mad Dog</t>
  </si>
  <si>
    <t>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t>
  </si>
  <si>
    <t>Action, Thriller, Mystery</t>
  </si>
  <si>
    <t>Revenge, Tragic Past, Enemy Mine, Corruption, Insurance, Strong Female Lead, Teamwork, Fraud, Investigation, Bromance</t>
  </si>
  <si>
    <t>Yoo Ji Tae, Woo Do Hwan, Ryu Hwa Young, Jo Jae Yoon, Kim Hye Sung, Hong Soo Hyun</t>
  </si>
  <si>
    <t>#178</t>
  </si>
  <si>
    <t>Birthcare Center</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</si>
  <si>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hasnâ€™t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t>
  </si>
  <si>
    <t>Comedy, Life, Drama, Melodrama</t>
  </si>
  <si>
    <t>Motherhood, Childbirth, Strong Female Lead, Older Woman/Younger Man, Sismance, Black Comedy, Hardworking Female Lead, Independent Female Lead, Multiple Mains, Pregnancy</t>
  </si>
  <si>
    <t>Uhm Ji Won, Park Ha Sun, Choi Ri, Jang Hye Jin, Yoon Park, Im Hwa Young</t>
  </si>
  <si>
    <t>#179</t>
  </si>
  <si>
    <t>Nine: Nine Times Time Travel</t>
  </si>
  <si>
    <t>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t>
  </si>
  <si>
    <t>Mystery, Romance, Supernatural</t>
  </si>
  <si>
    <t>Time Travel, 1990s, Bromance, Female Chases Male First, Announcer Male Lead, Reporter Female Lead, Magical Object, Arrogant Male Lead, Brain Tumor, Hidden Past</t>
  </si>
  <si>
    <t>Lee Jin Wook, Lee Seung Joon, Jo Yoon Hee, Oh Min Suk, Lee Yi Kyung, Jo Min Ah</t>
  </si>
  <si>
    <t>#180</t>
  </si>
  <si>
    <t>Extraordinary You</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</si>
  <si>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authorâ€™s plans for her character by utilizing the flashes of storyboard she alone is able to see.</t>
  </si>
  <si>
    <t>Comedy, Romance, Youth, Fantasy</t>
  </si>
  <si>
    <t>Sassy Female Lead, Nice Male Lead, Adapted From A Webtoon, High School, Illness, Height Difference, Love Triangle, Character Development, Strong Female Lead, Amnesia</t>
  </si>
  <si>
    <t>Kim Hye Yoon, Rowoon, Lee Jae Wook, Lee Na Eun, Kim Young Dae, Jung Gun Joo</t>
  </si>
  <si>
    <t>#181</t>
  </si>
  <si>
    <t>Pinocchio</t>
  </si>
  <si>
    <t>The idealistic Choi In Ha has her work cut out for her when she becomes a broadcast reporter, especially when she suffers from a condition known as â€œPinocchio syndrome,â€ which makes her break out into hiccups whenever she tells a lie. Her rookie colleagues include Choi Dal Po, whose shabby appearance masks his true eloquence and sharp memory</t>
  </si>
  <si>
    <t>#182</t>
  </si>
  <si>
    <t>Doctor Prisoner</t>
  </si>
  <si>
    <t>Doctor Prisoner centers around an ace doctor in a university hospitalâ€™s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heâ€™ll get rid of the existing prison chief doctor and claim the spot for himself.</t>
  </si>
  <si>
    <t>Thriller, Law, Crime, Medical</t>
  </si>
  <si>
    <t>Revenge, Smart Male Lead, Corruption, Power Struggle, Scheme, Lying, Smart Female Lead, Strong Female Lead, Deception, Character Development</t>
  </si>
  <si>
    <t>Namkoong Min, Kwon Na Ra, Kim Byung Chul, Choi Won Young, Lee Da In, Jin Hee Kyung</t>
  </si>
  <si>
    <t>#183</t>
  </si>
  <si>
    <t>Love All Play</t>
  </si>
  <si>
    <t>A sports romance drama that depicts the passion and affection for badminton of a male and female protagonist who is a mixed doubles group with players from the badminton business team. Park Tae Joon, who naturally wound up in the world of badminton because of his parentsâ€™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</si>
  <si>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Romance, Drama, Sports, Melodrama</t>
  </si>
  <si>
    <t>Badminton, Athlete Male Lead, Childhood Acquaintance, Teamwork, Friends To Lovers, Competition, Height Difference, Athlete Female Lead, Youth, Friendship</t>
  </si>
  <si>
    <t>Park Ju Hyun, Chae Jong Hyeop, Park Ji Hyun, Kim Moo Joon, Seo Ji Hye, Jo Han Chul</t>
  </si>
  <si>
    <t>#184</t>
  </si>
  <si>
    <t>My Unfamiliar Family</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</si>
  <si>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Heeâ€™s family or her friends who step up to the plate?</t>
  </si>
  <si>
    <t>Life, Drama</t>
  </si>
  <si>
    <t>Family Crisis, Amnesia, Misunderstanding, Multiple Mains, Mother-Son Relationship, Father-Daughter Relationship, Mother-Daughter Relationship, Father-Son Relationship, Friends To Lovers, Marriage</t>
  </si>
  <si>
    <t>Han Ye Ri, Kim Ji Suk, Choo Ja Hyun, Jung Jin Young, Won Mi Kyung, Shin Jae Ha</t>
  </si>
  <si>
    <t>#185</t>
  </si>
  <si>
    <t>Her Private Life</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</si>
  <si>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galleryâ€™s new director, saunters into her life. A once famous painter, the former artist turned director considers himself an indifferent being, unconcerned with the lives of others. But when he uncovers Deok Miâ€™s secret, everything changes.</t>
  </si>
  <si>
    <t>Boss-Employee Relationship, Independent Female Lead, Eccentric Female Lead, Orphan Male Lead, Smart Male Lead, Calm Male Lead, Sismance, Fan Culture, Steamy Kiss, Strong Female Lead</t>
  </si>
  <si>
    <t>Park Min Young, Kim Jae Wook, Ahn Bo Hyun, One, Kim Bo Ra, Park Jin Joo</t>
  </si>
  <si>
    <t>#186</t>
  </si>
  <si>
    <t>Age of Youth 2</t>
  </si>
  <si>
    <t>Five girls in their 20s share a house called Belle Ã‰poque. A year has passed since â€œHello, My Twenties 1.â€ Each of them got a job, went back to school, is still trying to get a boyfriend, or is getting over her first breakup. One day, a new student arrives at the house with a letter she stumbled upon. The letter is filled with curses against one of the girls at Belle Ã‰poque.</t>
  </si>
  <si>
    <t>Mystery, Comedy, Romance, Life</t>
  </si>
  <si>
    <t>Multiple Mains, Sismance, Trauma, Multiple Couples, Friendship, Taller Woman/Shorter Man, Investigation, Strong Female Lead, Character Development, Youth</t>
  </si>
  <si>
    <t>Han Ye Ri, Han Seung Yeon, Park Eun Bin, Ji Woo, Choi A Ra, Kim Min Seok</t>
  </si>
  <si>
    <t>#187</t>
  </si>
  <si>
    <t>Secret</t>
  </si>
  <si>
    <t>A man who does not believe in love, falls for a woman who has been hurt by it. Min Hyuk is wealthy, with everything but a good personality, Heâ€™s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</si>
  <si>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Romance, Drama, Melodrama</t>
  </si>
  <si>
    <t>Revenge, Nice Female Lead, Rich Male Lead, Love Square, Naive Female Lead, Slow Burn Romance, Wrongfully Accused, Rich Man/Poor Woman, Pregnancy, Hit And Run</t>
  </si>
  <si>
    <t>Ji Sung, Hwang Jung Eum, Bae Soo Bin, Lee Da Hee, Lee Deok Hwa, Jo Mi Ryung</t>
  </si>
  <si>
    <t>#188</t>
  </si>
  <si>
    <t>Military Prosecutor Doberman</t>
  </si>
  <si>
    <t>Do Bae Man became military prosecutor only to make more money and be successful. On the other hand, Cha Woo In, recently joining Bae Manâ€™s team, became one for her revenge. As these two different purposes shows, the two have very different backgrounds and personalities. However, as they work on the same case, Bae Man and Woo In help each other and even grow together as fine military prosecutors.</t>
  </si>
  <si>
    <t>Action, Military, Mystery, Law</t>
  </si>
  <si>
    <t>Military Abuse, Investigation, Death Of A Mother, Prosecutor Female Lead, Prosecutor Male Lead, Death Of A Father, Money-Hungry Male Lead, Successful Male Lead, Evil Parental Figure, Money-Obsession</t>
  </si>
  <si>
    <t>Ahn Bo Hyun, Jo Bo Ah, Oh Yeon Soo, Kim Young Min, Kim Woo Seok, Kang Mal Geum</t>
  </si>
  <si>
    <t>#189</t>
  </si>
  <si>
    <t>Pachinko</t>
  </si>
  <si>
    <t>This sweeping saga chronicles the hopes and dreams of a Korean immigrant family across four generations as they leave their homeland in an indomitable quest to survive and thrive.</t>
  </si>
  <si>
    <t>Historical, Romance, Drama, Melodrama</t>
  </si>
  <si>
    <t>Co-produced, Discrimination, Immigrant, Adapted From A Novel, Abuse Of Power, Racism, Japanese Colonial Rule, 1980s, Forbidden Love, Miniseries</t>
  </si>
  <si>
    <t>Kim Min Ha, Youn Yuh Jung, Jin Ha, Lee Min Ho, Jeon Yu Na, Park So Hee</t>
  </si>
  <si>
    <t>#190</t>
  </si>
  <si>
    <t>My Roommate Is a Gumiho</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</si>
  <si>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t>
  </si>
  <si>
    <t>Comedy, Romance, Fantasy</t>
  </si>
  <si>
    <t>Nine-tailed Fox, Cohabitation, Smart Male Lead, Nice Male Lead, Supernatural, Independent Female Lead, Interspecies Romance, Adapted From A Webtoon, Friendship, Multiple Mains</t>
  </si>
  <si>
    <t>Jang Ki Yong, Lee Hye Ri, Kang Han Na, Kim Do Wan, Bae In Hyuk, Park Kyung Hye</t>
  </si>
  <si>
    <t>#191</t>
  </si>
  <si>
    <t>Yumi's Cells 2</t>
  </si>
  <si>
    <t>After suffering a painful breakup, Yu Miâ€™s love cells have shut down completely, but a chance meeting with the emotionally stunted game designer, Goo Woong, changes all of that. Waking up a number of each otherâ€™s cells, Yu Mi and Goo Woong find themselves drawing closer, but even with the revival of their long-dormant love cells, their relationship wasnâ€™t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</si>
  <si>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Comedy, Romance, Life</t>
  </si>
  <si>
    <t>Workplace Setting, Office Worker Female Lead, Office Worker Male Lead, Illustrator Supporting Character, Workplace Romance, Sweet Male Lead, Mixed Live Action-Animation, Adapted From A Webtoon</t>
  </si>
  <si>
    <t>Kim Go Eun, Park Jin Young, Ahn Bo Hyun, Lee Yoo Bi, Mi Ram, Kwon Seung Woo</t>
  </si>
  <si>
    <t>#192</t>
  </si>
  <si>
    <t>My Country: The New Age</t>
  </si>
  <si>
    <t>Set during the end of the Goryeo period to the early Joseon period. Two friends aim their swords against one another due to differences in opinion about "my country."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t>
  </si>
  <si>
    <t>Action, Historical, Romance, Drama</t>
  </si>
  <si>
    <t>Friendship, Multiple Mains, Bromance, Joseon Dynasty, Strong Male Lead, Power Struggle, War, Smart Female Lead, First Love, Evil Parental Figure</t>
  </si>
  <si>
    <t>Yang Se Jong, Woo Do Hwan, Kim Seol Hyun, Jang Hyuk, Kim Yeong Cheol, Ahn Nae Sang</t>
  </si>
  <si>
    <t>#193</t>
  </si>
  <si>
    <t>Sell Your Haunted House</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</si>
  <si>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t>
  </si>
  <si>
    <t>Thriller, Mystery, Comedy, Fantasy</t>
  </si>
  <si>
    <t>Ghost, Supernatural, Exorcism, Strong Female Lead, Smart Female Lead, Cold Female Lead, Suspense, Crime, Secret, Death</t>
  </si>
  <si>
    <t>Jang Na Ra, Jung Yong Hwa, Kang Hong Suk, Kang Mal Geum, Baek Eun Hye, Ahn Kil Kang</t>
  </si>
  <si>
    <t>#194</t>
  </si>
  <si>
    <t>Player</t>
  </si>
  <si>
    <t>A police redemption team consisting of a swindler, a fighter, an elite hacker, and a talented driver is asked to take back property hidden away by criminals. The driver, Cha Ah Ryung, grew up on the streets after being abandoned by her parents.</t>
  </si>
  <si>
    <t>Strong Female Lead, Corruption, Hidden Identity, Conspiracy, Double Identity, Fight, Gang, Unusual Friendship, Badass Male Lead, Hardworking Male Lead</t>
  </si>
  <si>
    <t>Song Seung Heon, Krystal Jung, Lee Si Eon, Tae Won Seok, Kim Won Hae, Ahn Se Ho</t>
  </si>
  <si>
    <t>#195</t>
  </si>
  <si>
    <t>The Legend of the Blue Sea</t>
  </si>
  <si>
    <t>How can a mermaid from the Joseon era survive in modern society? Shim Chung is a mermaid who follows her one true love, a noblemanâ€™s son named Kim Ryung from the Joseon Dynasty, to modern-day Seoul. Ryungâ€™s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Jaeâ€™s heart in Cha Shi Ah, a researcher at KAIST who deals with ancient artifacts. When a dangerous killer named Ma Dae Yeong, sent by Joon Jaeâ€™s stepmother who wants to make her own son the heir to Joon Jaeâ€™s fortunes, can Shim Chung survive her strange new environment while also helping Joon Jae avoid the dangers that await him?</t>
  </si>
  <si>
    <t>Naive Female Lead, Interspecies Romance, Eccentric Female Lead, Cohabitation, Evil Stepmother, First Love, Sassy Female Lead, Hidden Identity, Nice Male Lead, Bromance</t>
  </si>
  <si>
    <t>Lee Min Ho, Jun Ji Hyun, Lee Hee Joon, Shin  Won Ho, Shin Hye Sun, Moon So Ri</t>
  </si>
  <si>
    <t>#196</t>
  </si>
  <si>
    <t>Come and Hug Me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</si>
  <si>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t>
  </si>
  <si>
    <t>Thriller, Mystery, Romance, Melodrama</t>
  </si>
  <si>
    <t>Evil Parental Figure, Trauma, Nice Male Lead, Healing, First Love, Violence, Strong Female Lead, Successful Female Lead, Calm Male Lead, Murder</t>
  </si>
  <si>
    <t>Jang Ki Yong, Jin Ki Joo, Heo Joon Ho, Yoon Jong Hoon, Kim Kyung Nam, Seo Jung Yeon</t>
  </si>
  <si>
    <t>#197</t>
  </si>
  <si>
    <t>Partners for Justice</t>
  </si>
  <si>
    <t>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t>
  </si>
  <si>
    <t>Thriller, Mystery, Law, Medical</t>
  </si>
  <si>
    <t>Forensic Medical Examiner Male Lead, Prosecutor Female Lead, Forensic Science, Lieutenant Supporting Character, Serial Killer Supporting Character, Criminal Supporting Character, Age Gap [Drama Life], Age Gap [Real Life], Warm Female Lead, Smart Female Lead</t>
  </si>
  <si>
    <t>Jung Jae Young, Jung Yoo Mi, Lee Yi Kyung, Park Eun Seok, Stephanie Lee, Joo Jin Mo</t>
  </si>
  <si>
    <t>#198</t>
  </si>
  <si>
    <t>Seasons of Blossom</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</si>
  <si>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t>
  </si>
  <si>
    <t>Comedy, Romance, Youth, Drama</t>
  </si>
  <si>
    <t>Student, Suicide, Flashback To Past, Death, School, Friendship, Childhood Friends' Relationship, Teenager Female Lead, Teenager Male Lead, Teacher Female Lead</t>
  </si>
  <si>
    <t>Seo Ji Hoon, So Ju Yeon, Kim Min Kyu, Kang Hye Won, Yoon Hyun Soo, Oh Yu Jin</t>
  </si>
  <si>
    <t>#199</t>
  </si>
  <si>
    <t>The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</si>
  <si>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t>
  </si>
  <si>
    <t>Action, Historical, Comedy, Romance</t>
  </si>
  <si>
    <t>Cross-Dressing, Joseon Dynasty, Hidden Identity, Strong Male Lead, Birth Secret, Strong Female Lead, Gender Bender, First Love, Martial Arts Master, Smart Male Lead</t>
  </si>
  <si>
    <t>Jang Dong Yoon, Kim So Hyun, Kang Tae Oh, Jung Joon Ho, Kim Tae Woo, Yoon Yoo Sun</t>
  </si>
  <si>
    <t>#200</t>
  </si>
  <si>
    <t>Psychopath Diary</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</si>
  <si>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t>
  </si>
  <si>
    <t>Thriller, Mystery, Comedy, Crime</t>
  </si>
  <si>
    <t>Black Comedy, Amnesia, Personality Change, Nice Male Lead, Misunderstanding, Wrongfully Accused, Investigation, Murder, Smart Female Lead, Workplace Abuse</t>
  </si>
  <si>
    <t>Yoon Shi Yoon, Jung In Sun, Park Sung Hoon, Lee  Han Wi, Hwang Geum Byul, Kim Kyul</t>
  </si>
  <si>
    <t>#201</t>
  </si>
  <si>
    <t>Knight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</si>
  <si>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</si>
  <si>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</si>
  <si>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</si>
  <si>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t>
  </si>
  <si>
    <t>#202</t>
  </si>
  <si>
    <t>The Beauty Inside</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</si>
  <si>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t>
  </si>
  <si>
    <t>#203</t>
  </si>
  <si>
    <t>Tale of the Nine-Tailed</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</si>
  <si>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t>
  </si>
  <si>
    <t>Thriller, Horror, Romance, Fantasy</t>
  </si>
  <si>
    <t>Nine-tailed Fox, Reincarnation, Supernatural, Sibling Rivalry, Fated Love, Interspecies Romance, Mythical Being, Hardworking Female Lead, Smart Female Lead, Strong Female Lead</t>
  </si>
  <si>
    <t>Lee Dong Wook, Jo Bo Ah, Kim Bum, Kim Yong Ji, Hwang Hee, Kim Jung Nan</t>
  </si>
  <si>
    <t>#204</t>
  </si>
  <si>
    <t>Love to Hate You</t>
  </si>
  <si>
    <t>Yeo Mi Ran works as a novice lawyer at Gilmu Law Firm, a company that primarily serves the entertainment industry. She has no interest in pursuing a romantic relationship and detests losing to men in any competition. Nam Kang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Kang Ho find themselves engaged in a romantic battle.</t>
  </si>
  <si>
    <t>Comedy, Law, Romance</t>
  </si>
  <si>
    <t xml:space="preserve">Badass Female Lead, Enemies To Lovers, Actor Male Lead, Famous Male Lead, Entertainment Industry, Aggressive Female Lead, Social Issues, Skilled Fighter, Lawyer Female Lead, Gender Discrimination </t>
  </si>
  <si>
    <t>Kim Ok Bin, Yoo Teo, Kim Ji Hoon, Go Won Hee</t>
  </si>
  <si>
    <t>#205</t>
  </si>
  <si>
    <t>The Good Detective</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</si>
  <si>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t>
  </si>
  <si>
    <t>Wrongfully Accused, Corruption, Investigation, Smart Male Lead, Bromance, Corrupt Legal System, Murder, Crime, Detective Male Lead, Suspense</t>
  </si>
  <si>
    <t>Son Hyun Joo, Jang Seung Jo, Lee Elijah, Oh Jung Se, Ji Seung Hyun, Son Jong Hak</t>
  </si>
  <si>
    <t>#206</t>
  </si>
  <si>
    <t>See You in My 19th Life</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</si>
  <si>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sisterâ€™s death. Upon meeting Ban Ji Eum, she sees her sister in her and becomes curious about Ban Ji Eumâ€™s identity. Ha Do Yoon, Moon Seo Haâ€™s childhood friend and secretary, feels a mysterious connection with him, despite their different backgrounds.</t>
  </si>
  <si>
    <t>Reincarnation, Past Life, Trauma, Death, Adapted From A Webtoon, Childhood Friends' Relationship, First Love, Flashback To Past, Competent Female Lead, Straightforward Female Lead</t>
  </si>
  <si>
    <t>Shin Hye Sun, Ahn Bo Hyun, Ha Yoon Kyung, Ahn Dong Goo</t>
  </si>
  <si>
    <t>#207</t>
  </si>
  <si>
    <t>He Is Psychometric</t>
  </si>
  <si>
    <t>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t>
  </si>
  <si>
    <t>Thriller, Mystery, Romance, Supernatural</t>
  </si>
  <si>
    <t>Psychometry, Special Power, Tragic Past, Nice Male Lead, Smart Female Lead, Bromance, Strong Female Lead, Slow Romance, Sassy Female Lead, Death</t>
  </si>
  <si>
    <t>Park Jin Young, Shin Ye Eun, Kim Kwon, Kim Da Som, Noh Jong Hyun, Go Yoon Jung</t>
  </si>
  <si>
    <t>#208</t>
  </si>
  <si>
    <t>One Spring Night</t>
  </si>
  <si>
    <t>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t>
  </si>
  <si>
    <t>Nice Male Lead, Family Pressure, Strong Female Lead, Adult Romance, Father-Son Relationship, Strict Father, Sismance, Male Chases Female First, Mother-Son Relationship, Mother-Daughter Relationship</t>
  </si>
  <si>
    <t>Jung Hae In, Han Ji Min, Kim Joon Han, Im Sung Eon, Joo Min Kyung, Song Seung Hwan</t>
  </si>
  <si>
    <t>#209</t>
  </si>
  <si>
    <t>Soundtrack #1</t>
  </si>
  <si>
    <t>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t>
  </si>
  <si>
    <t>Music, Romance</t>
  </si>
  <si>
    <t>Miniseries, Friends To Lovers, Unrequited Love, Long Time Friends, Friendship, Flashback To Past, Cohabitation, Best Friends' Relationship, Songwriter Female Lead, Photographer Male Lead</t>
  </si>
  <si>
    <t>Park Hyung Sik, Han So Hee, Kim Joo Heon, Yoon Byung Hee, Park Min Jung, Park Hoon</t>
  </si>
  <si>
    <t>#210</t>
  </si>
  <si>
    <t>City Hunter</t>
  </si>
  <si>
    <t>Lee Yoon Sung is a talented MIT-graduate who works on the international communications team in the Blue House. He plans revenge on five politicians who caused his father's death with his surrogate father Lee Jin Pyo and eventually becomes a "City Hunter".</t>
  </si>
  <si>
    <t>Action, Thriller, Crime</t>
  </si>
  <si>
    <t>Strong Male Lead, Hidden Identity, Revenge, Corruption, Adapted From A Manga, Strong Female Lead, Smart Male Lead, Romance, Death, Tragic Past</t>
  </si>
  <si>
    <t>Lee Min Ho, Park Min Young, Lee Joon Hyuk, Kim Sang Joong, Hwang Sun Hee, Kim Mi Sook</t>
  </si>
  <si>
    <t>#211</t>
  </si>
  <si>
    <t>Class of Lies</t>
  </si>
  <si>
    <t>8.3</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</si>
  <si>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t>
  </si>
  <si>
    <t>Thriller, Mystery, Law, Youth</t>
  </si>
  <si>
    <t>Murder, Investigation, Death, High School, Jealousy, Multiple Mains, Rich Male Lead, Suspense, Attempted Murder, Attempted Suicide</t>
  </si>
  <si>
    <t>Yoon Kyun Sang, Geum Sae Rok, Lee Jun Young, Choi Yoo Hwa, Choi Kyu Jin, Han So Eun</t>
  </si>
  <si>
    <t>#212</t>
  </si>
  <si>
    <t>100 Days My Prince</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</si>
  <si>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Heâ€™s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Yulâ€™s eventual recovery, with his memory fully intact?</t>
  </si>
  <si>
    <t>Historical, Comedy, Romance, Drama</t>
  </si>
  <si>
    <t>Amnesia, Hidden Identity, Marriage Of Convenience, Joseon Dynasty, Fake Marriage, Eccentric Male Lead, Hardworking Female Lead, Double Identity, Strong Female Lead, Riches To Rags</t>
  </si>
  <si>
    <t>Doh Kyung Soo, Nam Ji Hyun, Kim Seon Ho, Han So Hee, Jo Sung Ha, Kim Jae Young</t>
  </si>
  <si>
    <t>#213</t>
  </si>
  <si>
    <t>At a Distance, Spring Is Green</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</si>
  <si>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t>
  </si>
  <si>
    <t>Romance, Life, Youth</t>
  </si>
  <si>
    <t>Coming Of Age, Bromance, Adapted From A Webtoon, Child Abuse, Student, Depression, Abusive Parents, Anxiety, Childhood Trauma, Hardworking Male Lead</t>
  </si>
  <si>
    <t>Park Ji Hoon, Kang  Min Ah, Bae In Hyuk, Kwon Eun Bin, Choi Jung Woo, Woo Da Vi</t>
  </si>
  <si>
    <t>#214</t>
  </si>
  <si>
    <t>Lie After Lie</t>
  </si>
  <si>
    <t>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Minâ€™s heart â€“ and become her own daughterâ€™s stepmother. But the truth has a way of coming outâ€¦and if it does, how will her new family react?</t>
  </si>
  <si>
    <t>Thriller, Romance, Melodrama</t>
  </si>
  <si>
    <t>Nice Male Lead, Father-Daughter Relationship, Wrongfully Accused, Revenge, Domestic Abuse, Hidden Identity, Domestic Violence, Evil Mother-in-Law, Hateful Mother-in-Law, Mother-Daughter Relationship</t>
  </si>
  <si>
    <t>Lee Yoo Ri, Yeon Jung Hoon, Lee Il Hwa, Im Ju Eun, Go Na Hee, Kwon Hwa Woon</t>
  </si>
  <si>
    <t>#215</t>
  </si>
  <si>
    <t>The Sound of Magic</t>
  </si>
  <si>
    <t>High school student Yoon Ah Yi finances herself and her younger sister by working part-time jobs. She doesn't know where her parents are. Debt collectors drove her father away from homeâ€”and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t>
  </si>
  <si>
    <t>#216</t>
  </si>
  <si>
    <t>The Mysterious Class</t>
  </si>
  <si>
    <t>"There are 21 students in our class." "What are you talking about... Your class had 20 students right from the start..!!" Peaceful class 4 of the 3rd grade of Treasure High. Friendship and a mystery thriller while doubting each other. Will they be able to find the ghost?</t>
  </si>
  <si>
    <t>Mystery, Horror, Youth, Supernatural</t>
  </si>
  <si>
    <t>Student, Ghost, Investigation, High School, School, Suspense, Miniseries, Web Series, Friendship</t>
  </si>
  <si>
    <t>Choi Hyun Suk, Park Ji Hoon, Yoshi, Kim Jun Kyu, Mashiho, Yoon Jae Hyuk</t>
  </si>
  <si>
    <t>#217</t>
  </si>
  <si>
    <t>Good Doctor</t>
  </si>
  <si>
    <t>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t>
  </si>
  <si>
    <t>Autism, Eccentric Male Lead, Ableism, Child Abuse, Slow Burn Romance, Doctor Female Lead, Doctor Male Lead, Autistic Male Lead, Savant Syndrome, Mental Illness</t>
  </si>
  <si>
    <t>Joo Won, Moon Chae Won, Joo Sang Wook, Kim Min Seo, Ha Kyu Won, Kim Hyun Soo</t>
  </si>
  <si>
    <t>#218</t>
  </si>
  <si>
    <t>It's Okay, That's Friendship</t>
  </si>
  <si>
    <t>The 12 members of TREASURE take on acting for the first time ever since debut.</t>
  </si>
  <si>
    <t>Comedy, Life</t>
  </si>
  <si>
    <t>Idol Male Lead, Multiple Mains, Transfer Student, Web Series, Student, Bromance, School, Friendship</t>
  </si>
  <si>
    <t>Choi Hyun Suk, Park Ji Hoon, Kim Jun Kyu, Yoshi, Mashiho, Yoon Jae Hyuk</t>
  </si>
  <si>
    <t>#219</t>
  </si>
  <si>
    <t>Rookie Cops</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</si>
  <si>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t>
  </si>
  <si>
    <t>Police Academy, University, Campus Setting, Hardship, Coming Of Age, Student, Student-Teacher Relationship, Teacher Supporting Character, Chasing A Dream, Ambition</t>
  </si>
  <si>
    <t>Kang Daniel, Chae Soo Bin, Lee Shin Young, Park Yoo Na, Park Sung Joon, Min Do Hee</t>
  </si>
  <si>
    <t>#220</t>
  </si>
  <si>
    <t>True Beauty</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</si>
  <si>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t>
  </si>
  <si>
    <t>Adapted From A Webtoon, Makeover, Popular Male Lead, Beauty, High School, Hidden Identity, Beauty Standards, Nice Female Lead, Smart Male Lead, Transformation</t>
  </si>
  <si>
    <t>Moon Ga Young, Cha Eun Woo, Hwang In Youp, Park Yoo Na, Jang Hye Jin, Park Ho San</t>
  </si>
  <si>
    <t>#221</t>
  </si>
  <si>
    <t>Oh My Ghost</t>
  </si>
  <si>
    <t>Bong Sun, a timid young woman, is possessed by the ghost of a lustful virgin. She has zero self-confidence, and because of her extreme shyness, she doesnâ€™t have any close friends. At the restaurant where she works as an assistant, sheâ€™s not particularly good at anything, and mostly just gets yelled at a lot. Her grandmother was a shaman so from a young age sheâ€™s been able to occasionally see ghosts, though itâ€™s not until she meets the lascivious ghost that she gets possessed totally. Sun Woo is a conceited star chef whoâ€™s overflowing with confidence in his food and his skills. Bong Sun harbours a secret crush on him, though he doesn't take much notice of her for two reasons: because heâ€™s always surrounded by women and because heâ€™s hung up on an old flame. But then one day, Bong Sun starts acting differently, shedding her mousy personality, and ends up constantly on Sun Wooâ€™s mind.</t>
  </si>
  <si>
    <t>Thriller, Comedy, Romance, Supernatural</t>
  </si>
  <si>
    <t>Boss-Employee Relationship, Identity Swap, Hardworking Male Lead, Successful Male Lead, Ghost-seeing Female Lead, Sismance, Love Triangle, Cold Man/Warm Woman, Female Chases Male First, Shamanism</t>
  </si>
  <si>
    <t>Park Bo Young, Kim Seul Gi, Jo Jung Suk, Im Joo Hwan, Kang Ki Young, Kwak Shi Yang</t>
  </si>
  <si>
    <t>#222</t>
  </si>
  <si>
    <t>God's Gift: 14 Days</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</si>
  <si>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t>
  </si>
  <si>
    <t>Thriller, Mystery, Drama, Supernatural</t>
  </si>
  <si>
    <t>Time Travel, Screenwriter Female Lead, Detective Fiction, Investigator Male Lead, Serial Killings, Misfortune, Injury, Conflict, Wrongfully Accused, Stalking</t>
  </si>
  <si>
    <t>Lee Bo Young, Cho Seung Woo, Kim Tae Woo, Kim Yoo Bin, Jung Gyu Woon, Kim Jin Hee</t>
  </si>
  <si>
    <t>#223</t>
  </si>
  <si>
    <t>The Sound of Your Heart</t>
  </si>
  <si>
    <t>"The Sound of Your Heart" comically follows Jo Suk's ridiculous but hilarious adventures with his girlfriend-turned-wife Ae Bong, their dogs, older brother Jo Joon, and parents.</t>
  </si>
  <si>
    <t>Comedy, Life, Sitcom</t>
  </si>
  <si>
    <t>Mother-Son Relationship, Father-Son Relationship, Adapted From A Webtoon, Short Length Series, Web Series, Slow Romance, Family</t>
  </si>
  <si>
    <t>Lee Kwang Soo, Kim Dae Myung, Jung So Min, Kim Byung Ok, Kim  Mi Kyung, Park Sang Hoon</t>
  </si>
  <si>
    <t>#224</t>
  </si>
  <si>
    <t>The Veil</t>
  </si>
  <si>
    <t>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t>
  </si>
  <si>
    <t>Action, Thriller, Mystery, Crime</t>
  </si>
  <si>
    <t>Badass Male Lead, Antihero, Smart Male Lead, National Intelligence Service, Strong Male Lead, Espionage, Investigation, Suspense, Drama, Agent Male Lead</t>
  </si>
  <si>
    <t>Namkoong Min, Park Ha Sun, Kim Ji Eun, Jang Young Nam, Kim Jong Tae, Kim Do Hyun</t>
  </si>
  <si>
    <t>#225</t>
  </si>
  <si>
    <t>Graceful Family</t>
  </si>
  <si>
    <t>Mo Seok Hee is the sole daughter of the MC Group business empire. Financially, she wants for nothing. However, all is not well with her. She is haunted by the passing of her mother, who died in mysterious circumstances a decade and a half ago. Ever since her motherâ€™s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Heeâ€™s mother. Will Mo Seok Hee and Heo Yoon Do uncover the dark truth behind a death that took place 15 years ago? What other secrets is the MG Group hiding? And could working together lead the duo to romance?</t>
  </si>
  <si>
    <t>Thriller, Mystery, Drama, Melodrama</t>
  </si>
  <si>
    <t>Strong Female Lead, Smart Female Lead, Grandpa-Granddaughter Relationship, Badass Female Lead, Calm Male Lead, Rich Female Lead, Family Secret, Murder, Slow Burn Romance, Slight Romance</t>
  </si>
  <si>
    <t>Im Soo Hyang, Lee Jang Woo, Bae Jong Ok, Lee Kyu Han, Kim Jin Woo, Jeon Jin Seo</t>
  </si>
  <si>
    <t>#226</t>
  </si>
  <si>
    <t>Gu Family Book</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</si>
  <si>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t>
  </si>
  <si>
    <t>#227</t>
  </si>
  <si>
    <t>The Hymn of Death</t>
  </si>
  <si>
    <t>Kim Woo Jin is a stage drama writer while Korea is under Japanese occupation. He is married, but he falls in love with Yun Shim Deok. Shim Deok is the first Korean soprano. She records the song â€œPraise of Deathâ€ which becomes the first Korean pop song in 1926. Woo Jin and Shim Deok's fate ends tragically.</t>
  </si>
  <si>
    <t>Music, Historical, Romance, Melodrama</t>
  </si>
  <si>
    <t>Forbidden Love, Based On True Story, Biographical, Miniseries, Star Crossed Lovers, Rich Male Lead, Disapproving Parent, Japanese Colonial Rule, Arranged Marriage, Nice Male Lead</t>
  </si>
  <si>
    <t>Lee Jong Suk, Shin Hye Sun, Park Seon Im, Lee Ji Hoon, Han Eun Seo, Kim Kang Hyun</t>
  </si>
  <si>
    <t>#228</t>
  </si>
  <si>
    <t>Jumong</t>
  </si>
  <si>
    <t>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t>
  </si>
  <si>
    <t>Adventure, Historical, Romance, Drama</t>
  </si>
  <si>
    <t>Leadership, Strong Female Lead, Power Struggle, Goguryeo Dynasty, War, Jumong, Father-Son Relationship, Archery, Royalty, Han Dynasty</t>
  </si>
  <si>
    <t>Song Il Gook, Han Hye Jin, Kim Seung Soo, Jeon Kwang Ryul, Oh Yeon Soo, Song Ji Hyo</t>
  </si>
  <si>
    <t>#229</t>
  </si>
  <si>
    <t>Vampire Prosecutor 2</t>
  </si>
  <si>
    <t>In the second season of â€œVampire Prosecutor,â€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â€œpowersâ€ to find leads on cases that seem unsolvable. But the one thing he canâ€™t solve is: who was the vampire/serial killer that turned him seven years ago? And what happens when Jung In becomes suspicious of Tae Yeonâ€™s â€œquestionableâ€ tactics in solving cases.</t>
  </si>
  <si>
    <t>Action, Mystery, Drama, Supernatural</t>
  </si>
  <si>
    <t>Supernatural Power, Police Procedural, Death, Investigation, Murder, Violence, Vampire Fiction, Prosecutor Male Lead, Torture, Kidnapping</t>
  </si>
  <si>
    <t>Yeon Jung Hoon, Lee Young Ah, Lee Won Jong, Lee Kyung Young, Kim Joo Young, Gong Jung Hwan</t>
  </si>
  <si>
    <t>#230</t>
  </si>
  <si>
    <t>Ugly Alert</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</si>
  <si>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grandfatherâ€™s company. Na Do Hee falls in love with Gong Joon Soo as both of them get to understand each other and cure their wounds.</t>
  </si>
  <si>
    <t>Business, Romance, Melodrama</t>
  </si>
  <si>
    <t>Rich Woman/Poor Man, Nice Male Lead, Strong Female Lead, Female Chases Male First, Bromance, Unexpected Pregnancy, Steamy Kiss, Multiple Couples, Poor Male Lead, Ex-Convict Male Lead</t>
  </si>
  <si>
    <t>Im Joo Hwan, Kang So Ra, Kang  Byul, Choi  Tae Joon, Kim Seol Hyun, Shin So Yool</t>
  </si>
  <si>
    <t>#231</t>
  </si>
  <si>
    <t>Misty</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</si>
  <si>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t>
  </si>
  <si>
    <t>Strong Female Lead, Badass Female Lead, Infidelity, Murder, Smart Male Lead, Misunderstanding, Suspense, Eccentric Female Lead, Marriage, Calm Female Lead</t>
  </si>
  <si>
    <t>Kim Nam Joo, Ji Jin Hee, Jeon Hye Jin, Im Tae Kyung, Go Jun, Jin Ki Joo</t>
  </si>
  <si>
    <t>#232</t>
  </si>
  <si>
    <t>Voice 3: City of Accomplices</t>
  </si>
  <si>
    <t>Emergency 112 call center members deal with an international evil cartel. The group is involved in the internet's dark web.</t>
  </si>
  <si>
    <t>Thriller, Mystery, Psychological, Crime</t>
  </si>
  <si>
    <t>Strong Female Lead, Leadership, Tough Male Lead, Investigation, Calm Female Lead, Teamwork, Impulsive Male Lead, Smart Female Lead, Smart Male Lead, Human Trafficking</t>
  </si>
  <si>
    <t>Lee  Ha Na, Lee Jin Wook, Son Eun Seo, Kim Woo Seok, Kim Joong Ki, Song Boo Geon</t>
  </si>
  <si>
    <t>#233</t>
  </si>
  <si>
    <t>Confession</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</si>
  <si>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t>
  </si>
  <si>
    <t>Corruption, Wrongfully Accused, Nice Male Lead, Bromance, Smart Male Lead, Murder, Illness, Calm Male Lead, Hardworking Male Lead, Heart Transplant</t>
  </si>
  <si>
    <t>Lee Jun Ho, Shin Hyun Bin, Yoo Jae Myung, Nam Ki Ae, Yoon Gyung Ho, Ryu Kyung Soo</t>
  </si>
  <si>
    <t>#234</t>
  </si>
  <si>
    <t>Again My Life</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</si>
  <si>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â€œdeath.â€</t>
  </si>
  <si>
    <t>Mystery, Law, Drama, Fantasy</t>
  </si>
  <si>
    <t>Time Travel, Fight For Justice, Death, Prosecutor Male Lead, Second Chance, Strong Male Lead, Corruption, Violence, Investigation, Bullied Male Lead</t>
  </si>
  <si>
    <t>Lee Joon Gi, Lee Kyung Young, Kim Ji Eun, Jung Sang Hoon, Choi Kwang, Hong Bi Ra</t>
  </si>
  <si>
    <t>#235</t>
  </si>
  <si>
    <t>Money Heist: Korea - Joint Economic Area - Part 1</t>
  </si>
  <si>
    <t>Thieves overtake the mint of a unified Korea. With hostages trapped inside, the police must stop them â€” as well as the shadowy mastermind behind it all.</t>
  </si>
  <si>
    <t>Hidden Identity, Hostage Situation, Reunification Of Korea, Multiple Mains, Sexual Content, Violence, Murder, Heist, Nudity, Strong Female Lead</t>
  </si>
  <si>
    <t>Yoo Ji Tae, Park Hae Soo, Jeon Jong Seo, Lee Won Jong, Kim Ji Hoon, Jang Yoon Ju</t>
  </si>
  <si>
    <t>#236</t>
  </si>
  <si>
    <t>Are You Human Too?</t>
  </si>
  <si>
    <t>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t>
  </si>
  <si>
    <t>Comedy, Romance, Sci-Fi, Fantasy</t>
  </si>
  <si>
    <t>Robot, Nice Male Lead, Artificial Intelligence, Interspecies Romance, Smart Male Lead, Identity Swap, Android, Strong Male Lead, Hidden Identity, Cheerful Male Lead</t>
  </si>
  <si>
    <t>Seo Kang Joon, Gong Seung Yeon, Lee Joon Hyuk, Park Hwan Hee, Kim Sung Ryung, Yoo Oh Sung</t>
  </si>
  <si>
    <t>#237</t>
  </si>
  <si>
    <t>Run On</t>
  </si>
  <si>
    <t>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t>
  </si>
  <si>
    <t>Romance, Life, Drama, Sports</t>
  </si>
  <si>
    <t>Strong Female Lead, Calm Male Lead, Quirky Humour, Multiple Couples, Nice Male Lead, Hardworking Female Lead, Smart Female Lead, Eccentric Male Lead, Famous Male Lead, Father-Son Relationship</t>
  </si>
  <si>
    <t>Yim Si Wan, Shin Se Kyung, Choi Soo Young, Kang Tae Oh, Park Young Gyu, Cha Hwa Yun</t>
  </si>
  <si>
    <t>#238</t>
  </si>
  <si>
    <t>The Smile Has Left Your Eyes</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</si>
  <si>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t>
  </si>
  <si>
    <t>Thriller, Mystery, Romance, Drama</t>
  </si>
  <si>
    <t>Antihero, Psychological, Murder, Tragic Past, Smart Male Lead, Investigation, Eccentric Male Lead, Cold Man/Warm Woman, Orphan Male Lead, Melodrama</t>
  </si>
  <si>
    <t>Seo In Guk, Jung So Min, Park Sung Woong, Seo Eun Soo, Go Min Si, Jang Young Nam</t>
  </si>
  <si>
    <t>#239</t>
  </si>
  <si>
    <t>Team Bulldog: Off-duty Investigation</t>
  </si>
  <si>
    <t>Known as an enthusiastic and impressively effective detective, Jin Kang Ho will stop at nothing to catch the criminals heâ€™s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itâ€™s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</si>
  <si>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Action, Mystery, Comedy, Drama</t>
  </si>
  <si>
    <t>Investigation, Strong Female Lead, Teamwork, Smart Female Lead, Multiple Mains, Eccentric Female Lead, Eccentric Male Lead, Police Department Setting, Detective Fiction, Detective Male Lead</t>
  </si>
  <si>
    <t>Cha Tae Hyun, Lee Sun Bin, Jung Sang Hoon, Yoon Gyung Ho, Ji Seung Hyun, Im Chul Hyung</t>
  </si>
  <si>
    <t>#240</t>
  </si>
  <si>
    <t>The Guardians</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</si>
  <si>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â€œThe Guardiansâ€ will have stylistic action scenes and a thrilling plot.</t>
  </si>
  <si>
    <t>Action, Thriller, Mystery, Law, Crime</t>
  </si>
  <si>
    <t>Revenge, Strong Female Lead, Corruption, Tragic Past, Teamwork, Investigation, Smart Male Lead, Attempted Murder, Lying, Policewoman</t>
  </si>
  <si>
    <t>Lee Si Young, Kim Young Kwang, Kim Tae Hoon, Kim Seul Gi, Key, Choi Moo Sung</t>
  </si>
  <si>
    <t>#241</t>
  </si>
  <si>
    <t>Terius Behind Me</t>
  </si>
  <si>
    <t>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t>
  </si>
  <si>
    <t>Action, Mystery, Comedy, Romance</t>
  </si>
  <si>
    <t>Corruption, Hidden Identity, Tragic Past, Teamwork, Spy Male Lead, Undercover Agent Male Lead, Character Development, Strong Female Lead, Single Mother Female Lead, Nice Male Lead</t>
  </si>
  <si>
    <t>So Ji Sub, Jung In Sun, Son Ho Jun, Im Se Mi, Kim Gun Woo, Ok Ye Rin</t>
  </si>
  <si>
    <t>#242</t>
  </si>
  <si>
    <t>Hyena</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</si>
  <si>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heâ€™s an expert at maneuvering the law to cater to their needs.</t>
  </si>
  <si>
    <t>Mystery, Comedy, Law, Romance</t>
  </si>
  <si>
    <t>Law Firm, Badass Female Lead, Investigation, Love/Hate Relationship, Corruption, Sismance, Sly Female Lead, Ambition, Deception, Rivalry</t>
  </si>
  <si>
    <t>Joo Ji Hoon, Kim Hye Soo, Lee Kyung Young, Kim Ho Jung, Song Young Kyu, Jun Suk Ho</t>
  </si>
  <si>
    <t>#243</t>
  </si>
  <si>
    <t>Touch Your Heart</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</si>
  <si>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t>
  </si>
  <si>
    <t>Comedy, Law, Romance, Drama</t>
  </si>
  <si>
    <t>Famous Lead/Common Lead, Law Firm, Hardworking Male Lead, Hardworking Female Lead, Nice Male Lead, Calm Male Lead, Opposites Attract, Smart Male Lead, Smart Female Lead, Naive Female Lead</t>
  </si>
  <si>
    <t>Lee Dong Wook, Yoo In Na, Lee Sang Woo, Son Sung Yoon, Oh Jung Se, Shim Hyung Tak</t>
  </si>
  <si>
    <t>#244</t>
  </si>
  <si>
    <t>Angry Mom</t>
  </si>
  <si>
    <t>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"Jo Bang Wool"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t>
  </si>
  <si>
    <t>Comedy, Drama, Melodrama</t>
  </si>
  <si>
    <t>Independent Female Lead, Mother-Daughter Relationship, High School, Corruption, Strong Female Lead, School Bullying, Double Identity, Sexual Harassment, Sexual Assault, Smart Female Lead</t>
  </si>
  <si>
    <t>Kim Hee Sun, Kim Yoo Jung, Ji Hyun Woo, Kim Ji Soo, Baro, Kim Tae Hoon</t>
  </si>
  <si>
    <t>#245</t>
  </si>
  <si>
    <t>Welcome 2 Life</t>
  </si>
  <si>
    <t>â€œWelcome 2 Lifeâ€ is a fantasy drama that will tell the story about a selfish lawyer who helps people who want to take advantage of the law. One day, he gets sucked into a parallel universe due to an unfortunate accident and begins to live a completely new life as an upright prosecutor.</t>
  </si>
  <si>
    <t>Comedy, Law, Romance, Fantasy</t>
  </si>
  <si>
    <t>Successful Male Lead, Smart Male Lead, Strong Female Lead, Parallel Dimension, Second Chance, Marriage, Father-Daughter Relationship, Death, Law Firm, Police Department Setting</t>
  </si>
  <si>
    <t>Rain, Im Ji Yeon, Kwak Shi Yang, Seo Hye Rin, Park Yoon Young, Son Byung Ho</t>
  </si>
  <si>
    <t>#246</t>
  </si>
  <si>
    <t>Suspicious Partner</t>
  </si>
  <si>
    <t>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t>
  </si>
  <si>
    <t>Thriller, Comedy, Law, Romance</t>
  </si>
  <si>
    <t>Cohabitation, Nice Male Lead, Hardworking Female Lead, Smart Male Lead, Tragic Past, Nice Female Lead, Ex-girlfriend Comes Back, Steamy Kiss, Strong Female Lead, Wrongfully Accused</t>
  </si>
  <si>
    <t>Ji Chang Wook, Nam Ji Hyun, Choi  Tae Joon, Kwon Na Ra, Dong Ha, Kim Ye Won</t>
  </si>
  <si>
    <t>#247</t>
  </si>
  <si>
    <t>Mine</t>
  </si>
  <si>
    <t>â€œMineâ€ is about strong and ambitious women who overcome the worldâ€™s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</si>
  <si>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Rich Female Lead, Strong Female Lead, Rich Family, Multiple Couples, Sibling Rivalry, Smart Female Lead, Ambition, Hidden Identity, Psychological, Big Family</t>
  </si>
  <si>
    <t>Lee Bo Young, Kim Seo Hyung, Ok Ja Yeon, Lee Hyun Wook, Cha Hak Yeon, Jung Yi Seo</t>
  </si>
  <si>
    <t>#248</t>
  </si>
  <si>
    <t>When the Weather Is Fine</t>
  </si>
  <si>
    <t>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"Goodnight Bookstore." Eun Seob's daily life is simple</t>
  </si>
  <si>
    <t>#249</t>
  </si>
  <si>
    <t>Lawless Lawyer</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</si>
  <si>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fatherâ€™s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</si>
  <si>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Action, Thriller, Law, Romance</t>
  </si>
  <si>
    <t>Smart Female Lead, Strong Female Lead, Revenge, Mixed Martial Arts, Male Chases Female First, Tragic Past, Corruption, Badass Female Lead, Teamwork, Calm Female Lead</t>
  </si>
  <si>
    <t>Lee Joon Gi, Seo Yea Ji, Lee Hye Young, Choi Min Soo, Lee Ro Woon, Lee Dae Yeon</t>
  </si>
  <si>
    <t>#250</t>
  </si>
  <si>
    <t>Crazy Love</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</si>
  <si>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Jinâ€™s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</si>
  <si>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Enemies To Lovers, Boss-Employee Relationship, Secretary Female Lead, Steamy Kiss, Narcissistic Male Lead, Slow Burn Romance, Love/Hate Relationship, Hardworking Female Lead, Rich Male Lead, Fake Relationship</t>
  </si>
  <si>
    <t>Kim Jae Wook, Krystal Jung, Ha Joon, Yoo In Young, Im Won Hee, Park Han Sol</t>
  </si>
  <si>
    <t>#251</t>
  </si>
  <si>
    <t>Buried Hearts</t>
  </si>
  <si>
    <t>To survive, a man hacked into a political slush fund worth 2 trillion won. The other man is a powerful shadowy figure, who loses 2 trillion won by killing the man without knowing that he was hacked. Seo Dong Ju works as a leader in the chairman's secretary office at Daesan Group. He is known as the "Daesan Man," someone who lives dies for Daesan Group's interests, but, he hides his elaborate and passionate ambitions deep within his mind. His ultimate goal is to entirely consume Daesan Group when he has the chance. Yeom Jang Seon is a law school professor and the former director of the National Intelligence Service. He is the most influential person in the South Korean political world. He even controls the kingmaker behind the scenes. Yeom Jang Seon feels the zenith of joy when he wields money and power as he pleases. He is the type of person who feels alive only when he has control over everyone like a marionette puppet.</t>
  </si>
  <si>
    <t>Thriller, Mystery, Crime, Political</t>
  </si>
  <si>
    <t>Return From Dead, Betrayed By A Significant Other, Former Prosecutor Male Lead, Emotional Infidelity, Married Female Lead, Married Male Lead, Professor Male Lead, Hacker Male Lead, Team Leader Male Lead, Company President (CEO) Supporting Character</t>
  </si>
  <si>
    <t>Park Hyung Sik, Huh Joon Ho, Lee Hae Young, Hong Hwa Yeon</t>
  </si>
  <si>
    <t>#252</t>
  </si>
  <si>
    <t>WATCHER</t>
  </si>
  <si>
    <t>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t>
  </si>
  <si>
    <t>Thriller, Mystery, Drama, Political</t>
  </si>
  <si>
    <t>Smart Male Lead, Smart Female Lead, Tragic Past, Corruption, Psychological, Trauma, Nice Male Lead, Badass Male Lead, Character Development, Detective Fiction</t>
  </si>
  <si>
    <t>Seo Kang Joon, Han Seok Kyu, Kim Hyun Joo, Park Joo Hee, Heo Sung Tae, Joo Jin Mo</t>
  </si>
  <si>
    <t>#253</t>
  </si>
  <si>
    <t>Five Enough</t>
  </si>
  <si>
    <t>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t>
  </si>
  <si>
    <t>Comedy, Romance, Drama, Melodrama</t>
  </si>
  <si>
    <t>Motherhood, Strong Female Lead, Multiple Couples, Nice Male Lead, Workplace Setting, Best Friends' Relationship, Ex-spouse Relationship, Death Of A Mother, Half-brothers' Relationship, Half-sisters' Relationship</t>
  </si>
  <si>
    <t>Ahn Jae Wook, So Yoo Jin, Sung Hoon, Shin Hye Sun, Shim Hyung Tak, Shim Yi Young</t>
  </si>
  <si>
    <t>#254</t>
  </si>
  <si>
    <t>Amanza</t>
  </si>
  <si>
    <t>A 26-year-old manâ€™s life is turned upside down when he is diagnosed with terminal stomach cancer. As he struggles with the pain of his treatment and the realization that he never truly lived, he retreats into his imagination, to a magical forest where answers and miracles can be found.</t>
  </si>
  <si>
    <t>Adventure, Life, Fantasy, Melodrama</t>
  </si>
  <si>
    <t>Cancer, Dream World, Mixed Live Action-Animation, Tearjerker, Terminal Illness, Adapted From A Webtoon, Web Series, Short Length Series, Supportive Girlfriend, Mental Illness</t>
  </si>
  <si>
    <t>Kim Ji Soo, Lee Seol, Oh Hyun Kyung, Yoo Seung Mok, Lee Jong Won, Shin Joo Hwan</t>
  </si>
  <si>
    <t>#255</t>
  </si>
  <si>
    <t>Light on Me</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</si>
  <si>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schoolâ€™s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Onâ€™s close female friend â€“ who secretly loves Da On â€“ is jealous of their closeness, and attempts to drive a wedge between them!</t>
  </si>
  <si>
    <t>Romance, Youth, Drama</t>
  </si>
  <si>
    <t>Gay Romance, LGBTQ+, School, School Club, First Love, High School, Secret Crush, All-Boys School, Nice Male Lead, Love Triangle</t>
  </si>
  <si>
    <t>Lee Sae On, Kang Yoo Seok, Choe Chan Yi, Go Woo Jin, Lee Ki Hyun, Yang Seo Hyun</t>
  </si>
  <si>
    <t>#256</t>
  </si>
  <si>
    <t>Bulgasal: Immortal Souls</t>
  </si>
  <si>
    <t xml:space="preserve">The series tells the story of a man-turned-immortal, Bulgasal, who wants revenge from a woman with a mysterious past and present, who he deems responsible for his immortality and miseries from the past 600 years, hoping to free himself from his curse. </t>
  </si>
  <si>
    <t>Thriller, Mystery, Drama, Fantasy</t>
  </si>
  <si>
    <t>Curse, Reincarnation, Revenge, Immortal, Hidden Identity, Dark Fiction, Found Family, Suspense, Grudge, Death</t>
  </si>
  <si>
    <t>Lee Jin Wook, Kwon Na Ra, Lee Joon, Gong Seung Yeon, Jung Jin Young, Kim Woo Seok</t>
  </si>
  <si>
    <t>#257</t>
  </si>
  <si>
    <t>Liar Game</t>
  </si>
  <si>
    <t>Various contestants take part in a game show with a prize of 10 billion won. The contestants who can cheat the others wins the prize. Contestants include genius swindler Ha Woo Jin and naive college student Nam Da Jung.</t>
  </si>
  <si>
    <t>Naive Female Lead, Debt, Game Show, Swindler Male Lead, Genius Male Lead, Adapted From A Manga, Money-Obsession, Suspense, Nice Female Lead, Gambling</t>
  </si>
  <si>
    <t>Lee Sang Yoon, Kim So Eun, Shin Sung Rok, Cha Soo Yeon, Choi Jin Ho, Choi Yoon So</t>
  </si>
  <si>
    <t>#258</t>
  </si>
  <si>
    <t>Tree With Deep Roots</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</si>
  <si>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"Hidden Root,"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t>
  </si>
  <si>
    <t>Historical, Mystery, Political</t>
  </si>
  <si>
    <t>Sejong The Great, Joseon Dynasty, Sword-fight, Revenge, Murder, Martial Arts, Royalty, Secret Organization, Death, Adapted From A Novel</t>
  </si>
  <si>
    <t>Han Seok Kyu, Jang Hyuk, Shin Se Kyung, Jo Jin Woong, Park Hyuk Kwon, Hyun Woo</t>
  </si>
  <si>
    <t>#259</t>
  </si>
  <si>
    <t>49 Days</t>
  </si>
  <si>
    <t>Shin Ji Hyun was enjoying absolute bliss as she was about to marry her fiancÃ©,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t>
  </si>
  <si>
    <t>Coma, Second Chance, Death, Car Accident, Naive Female Lead, Flashback To Past, Depression, Tragic Past, Multiple Mains, Fate</t>
  </si>
  <si>
    <t>Lee Yo Won, Nam Gyu Ri, Jung Il Woo, Jo Hyun Jae, Bae Soo Bin, Seo Ji Hye</t>
  </si>
  <si>
    <t>#260</t>
  </si>
  <si>
    <t>D-Day</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</si>
  <si>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canâ€™t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Koreaâ€™s rising doctor, but secretly, he truly cares about being a genuine doctor, saving the lives of the sick. These three characters team up to rush into emergencies, holding onto hope in the most desperate situations, and taking all sorts of risks for the sake of saving lives.</t>
  </si>
  <si>
    <t>Romance, Drama, Medical</t>
  </si>
  <si>
    <t>Disaster, Survival, Natural Disaster, Teamwork, Greed, Earthquake, Hardworking Male Lead, Secret, Corruption, Death</t>
  </si>
  <si>
    <t>Kim Young Kwang, Jung So Min, Ha Seok Jin, Lee Kyung Young, Kim Hye Eun, Yoon Joo Hee</t>
  </si>
  <si>
    <t>#261</t>
  </si>
  <si>
    <t>Awaken</t>
  </si>
  <si>
    <t>Itâ€™s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Agencyâ€™s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isnâ€™t a mystery heâ€™s allowed to solve on his own. Working alongside Jung Woo, Officer Gong Hye Won refuses to let anything stand between her and what she wants. Tenacious and hot-tempered, sheâ€™s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</si>
  <si>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Thriller, Mystery, Crime, Fantasy</t>
  </si>
  <si>
    <t>Tragic Past, Psychology, Eccentric Male Lead, Special Power, Teamwork, Child Abuse, Hot-tempered Female Lead, Trauma, Strong Male Lead, Orphan Male Lead</t>
  </si>
  <si>
    <t>Namkoong Min, Kim Seol Hyun, Lee Chung Ah, Yoon Sun Woo, Yoon Gyung Ho, Kim Tae Woo</t>
  </si>
  <si>
    <t>#262</t>
  </si>
  <si>
    <t>Oh My Venus</t>
  </si>
  <si>
    <t>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"Daegu's Venus".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t>
  </si>
  <si>
    <t>Comedy, Law, Romance, Life</t>
  </si>
  <si>
    <t>Weight Loss, Makeover, Cohabitation, Body Image, Bromance, Rich Male Lead, Hidden Identity, Hardworking Male Lead, Hardworking Female Lead, Steamy Kiss</t>
  </si>
  <si>
    <t>So Ji Sub, Shin Min Ah, Jung Gyu Woon, Yoo In Young, Sung Hoon, Henry Lau</t>
  </si>
  <si>
    <t>#263</t>
  </si>
  <si>
    <t>Leverage</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</si>
  <si>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t>
  </si>
  <si>
    <t>Action, Mystery, Comedy, Crime</t>
  </si>
  <si>
    <t>Smart Male Lead, Leadership, Friendship, Street Fight, Corruption, Badass Female Lead, Slight Romance, Female Lead Action Scenes, Strong Female Lead, Nice Male Lead</t>
  </si>
  <si>
    <t>Lee Dong Gun, Jeon Hye Bin, Kim Sae Ron, Kim Kwon, Yeo Hoe Hyun, Choi Ja Hye</t>
  </si>
  <si>
    <t>#264</t>
  </si>
  <si>
    <t>The King's Affection</t>
  </si>
  <si>
    <t>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t>
  </si>
  <si>
    <t>Historical, Romance, Drama</t>
  </si>
  <si>
    <t>Cross-Dressing, Joseon Dynasty, Hidden Identity, Cold Female Lead, Gender Bender, First Love, Royalty, Strong Female Lead, Nice Male Lead, Death</t>
  </si>
  <si>
    <t>Park Eun Bin, Rowoon, Nam Yoon Su, Choi Byung Chan, Bae Yoon Kyung, Jung Chae Yeon</t>
  </si>
  <si>
    <t>#265</t>
  </si>
  <si>
    <t>A Gentleman's Dignity</t>
  </si>
  <si>
    <t>Four men in their forties go through love, breakup, success and failure. The story includes the romantic relationship between Kim Do Jin, an architect with a scathing tongue, and strict high school teacher Seo Yi Soo, who moonlights as an umpire at amateur baseball games.</t>
  </si>
  <si>
    <t>Adult Romance, Bromance, Friendship, Age Gap [Drama Life], Age Gap [Real Life], Male Centered Plot, Dissociative Amnesia, Independent Female Lead, Mental Illness, Love At First Sight</t>
  </si>
  <si>
    <t>Jang Dong Gun, Kim Ha Neul, Kim Soo Ro, Kim Min Jong, Lee Jong Hyuk, Yoon Se Ah</t>
  </si>
  <si>
    <t>#266</t>
  </si>
  <si>
    <t>Rookie Historian Goo Hae Ryung</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</si>
  <si>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t>
  </si>
  <si>
    <t>Joseon Dynasty, Sismance, Strong Female Lead, Nice Male Lead, Hardworking Female Lead, Calm Female Lead, Power Struggle, Conspiracy, Social Problems, Hidden Past</t>
  </si>
  <si>
    <t>Shin Se Kyung, Cha Eun Woo, Lee Ji Hoon, Park Ki Woong, Lee Ye Rim, Park Ji Hyun</t>
  </si>
  <si>
    <t>#267</t>
  </si>
  <si>
    <t>Coffee Prince</t>
  </si>
  <si>
    <t>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"Coffee Prince," to prove that he's capable, to both his grandmother and Yoo Joo. In order to attract female customers, he only hires good-looking male employees. Eun Chan, desperate for money, continues to hide her gender to get a job at the Coffee Prince.</t>
  </si>
  <si>
    <t>Food, Comedy, Romance, Drama</t>
  </si>
  <si>
    <t>Cross-Dressing, Hidden Identity, Boss-Employee Relationship, Hardworking Female Lead, Strong Female Lead, Bromance, Eccentric Female Lead, Love Square, Gender Bender, Family Pressure</t>
  </si>
  <si>
    <t>Gong Yoo, Yoon Eun Hye, Lee Sun Kyun, Chae Jung An, Kim Chang Wan, Kim Dong Wook</t>
  </si>
  <si>
    <t>#268</t>
  </si>
  <si>
    <t>Ghost</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</si>
  <si>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t>
  </si>
  <si>
    <t>Thriller, Mystery</t>
  </si>
  <si>
    <t>Smart Male Lead, Hidden Identity, Murder, Investigation, Corruption, Police Department Setting, Detective Fiction, Detective Male Lead, Death, Suspense</t>
  </si>
  <si>
    <t>So Ji Sub, Lee Yun Hee, Kwak Do Won, Uhm Ki Joon, Lee Won Keun, Yoon  Ji Hye</t>
  </si>
  <si>
    <t>#269</t>
  </si>
  <si>
    <t>Love Playlist: Season 4</t>
  </si>
  <si>
    <t>The fourth season will show stories that everyone has experienced not only of love, but also enlistment, job hunting, and new human relationships.</t>
  </si>
  <si>
    <t>Romance, Life, Youth, Drama</t>
  </si>
  <si>
    <t>Multiple Mains, Web Series, Multiple Couples, Older Woman/Younger Man, Jealous Male Lead, Nice Female Lead, University, Older Man/Younger Woman, Cheerleading, Jealousy</t>
  </si>
  <si>
    <t>Lee Yoo Jin, Park Jung Woo, Park Shi An, Bae Hyun Sung, Kim Sae Ron, Kim Hyung Suk</t>
  </si>
  <si>
    <t>#270</t>
  </si>
  <si>
    <t>God's Quiz: Reboot</t>
  </si>
  <si>
    <t>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t>
  </si>
  <si>
    <t>Mystery, Medical</t>
  </si>
  <si>
    <t>Forensic Medical Examiner Male Lead, Detective Female Lead, Investigation, Detective Fiction, Workplace Setting, Neurosurgeon Male Lead, Doctor Male Lead, Genius Male Lead, Forensic Science, Height Difference</t>
  </si>
  <si>
    <t>Ryu Deok Hwan, Yoon Joo Hee, Park  Hyo Joo, Park Joon Myun, Kim Ki Doo, Kim Jae Won</t>
  </si>
  <si>
    <t>#271</t>
  </si>
  <si>
    <t>My Dearest Nemesis</t>
  </si>
  <si>
    <t>As a high school senior, Baek Su Jeong began playing an online game where she met another player nicknamed "Black Dragon." They unexpectedly got close, developing crushes and planning a meeting in real life... that concluded in humiliation and disaster when "Black Dragon" turned out to be an awkward middle schooler instead of the young man he portrayed himself to be! Sixteen years later, Su Jeong is a skilled planner at Yongseong Department Store, but her job is about to get a shakeup with the arrival of Ban Ju Yeon, the ambitious new head of strategic planning and heir to the company. There's just one problem: Ban Ju Yeon is actually "Black Dragon," and Su Jeong still holds a grudge. Will their past come back to haunt them, or can they find a way to resolve their misunderstandings â€“ and even find love as adults?</t>
  </si>
  <si>
    <t>Comedy, Romance</t>
  </si>
  <si>
    <t xml:space="preserve">Meet Again, Student Male Lead, Co-workers' Relationship, Otaku Male Lead, Workplace Setting, Office Setting, Heir Male Lead, Team Leader Female Lead, Age Gap [Real Life], Online Gamer Male Lead </t>
  </si>
  <si>
    <t>Mun Ka Young, Choi Hyun Wook, Im Se Mi, Kwak Shi Yang</t>
  </si>
  <si>
    <t>#272</t>
  </si>
  <si>
    <t>Missing Noir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</si>
  <si>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t>
  </si>
  <si>
    <t>Smart Male Lead, Investigation, Suspense, Calm Male Lead, Revenge, Murder, Suicide, Child Prodigy Male Lead, Involuntarily Missing Person, Hacker Female Lead</t>
  </si>
  <si>
    <t>Kim Kang Woo, Park Hee Soon, Jo Bo Ah, Kim  Gyu Chul, Park So Hyun, Oh Soon Tae</t>
  </si>
  <si>
    <t>#273</t>
  </si>
  <si>
    <t>Live Up to Your Name</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</si>
  <si>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t>
  </si>
  <si>
    <t>Historical, Romance, Medical, Fantasy</t>
  </si>
  <si>
    <t>Time Travel, Joseon Dynasty, Acupuncture, Strong Female Lead, Character Development, Trauma, Eccentric Male Lead, Tragic Past, Doctor Female Lead, Doctor Male Lead</t>
  </si>
  <si>
    <t>Kim Nam Gil, Kim Ah Joong, Yoo Min Kyu, Moon Ga Young, Yoon Joo Sang, Uhm Hyo Sub</t>
  </si>
  <si>
    <t>#274</t>
  </si>
  <si>
    <t>Queen for Seven Days</t>
  </si>
  <si>
    <t>This drama is about the love story between King Jung Jong and his Queen Dan Kyung, who was crowned and deposed within the span of a week due to rival political factions that controlled the kingâ€™s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</si>
  <si>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Joseon Dynasty, Sibling Rivalry, Lying, Revenge, First Love, Strong Female Lead, Love Triangle, Royalty, Jealousy, Drama</t>
  </si>
  <si>
    <t>Park Min Young, Yeon Woo Jin, Lee Dong Gun, Jang Hyun Sung, Kang Shin Il, Go Bo Gyeol</t>
  </si>
  <si>
    <t>#275</t>
  </si>
  <si>
    <t>Memory</t>
  </si>
  <si>
    <t>Park Tae Suk is a lawyer who finds out that he has Alzheimerâ€™s and puts his life on the line to fight one last case. The drama depicts his vigorous efforts trying to protect the precious value of the life and family love, while his memory starts fading away.</t>
  </si>
  <si>
    <t>Law, Romance, Life, Drama</t>
  </si>
  <si>
    <t>Alzheimer's Disease, Teamwork, Bromance, Mother-Son Relationship, Father-Son Relationship, Co-workers' Relationship, Workplace Setting, Ex-spouse Relationship, Vice President Supporting Character, Judge Supporting Character</t>
  </si>
  <si>
    <t>Lee Sung Min, Kim Jee Soo, Park Jin Hee, Lee Jun Ho, Jeon Noh Min, Yoon So Hee</t>
  </si>
  <si>
    <t>#276</t>
  </si>
  <si>
    <t>A Korean Odyssey</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</si>
  <si>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t>
  </si>
  <si>
    <t>Horror, Comedy, Romance, Fantasy</t>
  </si>
  <si>
    <t>Ghost-seeing Female Lead, Special Power, Supernatural Power, Demon, Steamy Kiss, Aggressive Male Lead, Ghost, Tough Male Lead, Love/Hate Relationship, Bromance</t>
  </si>
  <si>
    <t>Lee Seung Gi, Cha Seung Won, Oh Yeon Seo, Lee Hong Ki, Jang Gwang, Lee El</t>
  </si>
  <si>
    <t>#277</t>
  </si>
  <si>
    <t>Voice 4: Judgment Hour</t>
  </si>
  <si>
    <t>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doesnâ€™t allow mistakes, is a team leader from the LAPD (Los Angeles Police Department)</t>
  </si>
  <si>
    <t>#278</t>
  </si>
  <si>
    <t xml:space="preserve">Wonderful World </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</si>
  <si>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t>
  </si>
  <si>
    <t xml:space="preserve">News Presenter Male Lead, Healing, Death, Revenge, Suspense, Older Woman/Younger Man, Difficult Adulthood, Student Male Lead, Dropout Male Lead, Ex-Convict Female Lead </t>
  </si>
  <si>
    <t>Kim Nam Joo, Cha Eun Woo, Kim Kang Woo, Im Se Mi</t>
  </si>
  <si>
    <t>#279</t>
  </si>
  <si>
    <t>Divorce Attorney Shin</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</si>
  <si>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t>
  </si>
  <si>
    <t>Adapted From A Webtoon, Best Friends' Relationship, Lawyer Male</t>
  </si>
  <si>
    <t>Cho Seung Woo, Han Hye Jin, Kim Sung Kyun, Jung Moon Sung</t>
  </si>
  <si>
    <t>#280</t>
  </si>
  <si>
    <t>The Auditors</t>
  </si>
  <si>
    <t>Shin Cha Il, the sharp and distrustful leader of JU Constructionâ€™s audit team, tackles rampant corruption. Rookie Gu Han Soo joins the team, hoping for a transfer to Florida, but finds himself challenged by Shin Cha Il. Despite their differences, he grows under his bossâ€™s strict guidance. Meanwhile, ambitious vice president Hwang Dae Woong, the founderâ€™s third son, schemes to outmaneuver his brothers for the companyâ€™s presidency. Rookie auditor Yoon Seo Jin, an individualist striving for success, shares a hidden past with Hwang Dae Woong but keeps their connection secret at work.</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</si>
  <si>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</si>
  <si>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t>
  </si>
  <si>
    <t>#281</t>
  </si>
  <si>
    <t>Call It Love</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</si>
  <si>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t>
  </si>
  <si>
    <t xml:space="preserve">Slow Burn Romance, Loneliness, Lonely Male Lead, Slow Burn Story, Family Relationship, Healing, Protective Female Lead, Enemies To Lovers, Trauma, Long Time Friends </t>
  </si>
  <si>
    <t>Lee Sung Kyung, Sung Joon, Ahn Hee Yeon, Kim Ye Won, Kim Young Kwang</t>
  </si>
  <si>
    <t>#282</t>
  </si>
  <si>
    <t>Crash Course in Romance</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</si>
  <si>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t>
  </si>
  <si>
    <t>Thriller, Mystery, Comedy, Romance</t>
  </si>
  <si>
    <t>Older Woman/Younger Man, Teacher Male Lead, Cram School, Smart Male Lead, Workaholic Male Lead, High School, Aspergerâ€™s Syndrome, Hardworking Male Lead, Mental Illness, Age Gap [Real Life]</t>
  </si>
  <si>
    <t>Jeon Do Yeon, Jung Kyung Ho</t>
  </si>
  <si>
    <t>#283</t>
  </si>
  <si>
    <t xml:space="preserve">One Day Off </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</si>
  <si>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t>
  </si>
  <si>
    <t>Food, Life, Drama</t>
  </si>
  <si>
    <t>Teacher Female Lead, Independent Female Lead, Traveling, Life Lesson, Friendship, Smart Female Lead, Healing, Miniseries, Web Series</t>
  </si>
  <si>
    <t>Lee Na Young</t>
  </si>
  <si>
    <t>#284</t>
  </si>
  <si>
    <t>My Sweet Mobster</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</si>
  <si>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t>
  </si>
  <si>
    <t xml:space="preserve">Opposites Attract, Former Gangster Male Lead, YouTuber Female Lead, Company President (CEO) Male Lead, Ex-Convict Male Lead, Age Gap [Drama Life], Age Gap [Real Life], Nice Female Lead, Second Chance, Childhood Connection </t>
  </si>
  <si>
    <t>Uhm Tae Goo, Han Sun Hwa, Kwon Yul</t>
  </si>
  <si>
    <t>#285</t>
  </si>
  <si>
    <t>Queenmaker</t>
  </si>
  <si>
    <t>After a tragic accident, a skilled fixer, Hwang Do Hee, uses her expertise to turn civil rights lawyer Oh Kyung Sook into the next mayor of Seoul and take down her former employer. Hwang is a top consultant at Eunsung Group, using her knowledge of the ownerâ€™s family to manage risks, while Oh is a determined labor rights lawyer and popular YouTuber. Despite their different backgrounds, the two women join forces to create a just and truthful world.</t>
  </si>
  <si>
    <t>Business, Drama, Political</t>
  </si>
  <si>
    <t>Female Centered Plot, Fight For Justice, Conglomerate, Power Struggle, Businesswoman Female Lead, Influencer Female Lead, Politician Female Lead, Foundation Director Female Lead, Lawyer Female Lead, Determined Female Lead</t>
  </si>
  <si>
    <t>Kim Hee Ae, Moon So Ri, Ryu Soo Young</t>
  </si>
  <si>
    <t>#286</t>
  </si>
  <si>
    <t>King the Land</t>
  </si>
  <si>
    <t>8.2</t>
  </si>
  <si>
    <t>Heir Goo Won, known for his brilliance and charm, despises fake smiles but is captivated by Cheon Sa Rangâ€™s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t>
  </si>
  <si>
    <t xml:space="preserve">Hotel Setting, Male Chases Female First, Best Friends' Relationship, Hardworking Female Lead, Workplace Setting, Rich Male Lead, Secondary Couple, Opposites Attract, Sibling Rivalry, Hotel Management </t>
  </si>
  <si>
    <t>Lee Jun Ho, Im Yoon Ah</t>
  </si>
  <si>
    <t>#287</t>
  </si>
  <si>
    <t>Celebrity</t>
  </si>
  <si>
    <t>Fame. Money. Power. One young woman fights to become the next hottest celebrity in the glamorous yet scandalous world of influencers in Seoul.</t>
  </si>
  <si>
    <t>Social Media, Slight Romance, Rich Male Lead, Influencer Female Lead, Famous Female Lead, Secret, Suspense, Revenge, Influencer Supporting Character, Nonlinear Narrative</t>
  </si>
  <si>
    <t>Park Gyu Young, Kang Min Hyuk, Lee Chung Ah, Lee Dong Gun, Jeon Hyo Sung</t>
  </si>
  <si>
    <t>#288</t>
  </si>
  <si>
    <t>Agency</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</si>
  <si>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t>
  </si>
  <si>
    <t>Business, Life, Drama</t>
  </si>
  <si>
    <t xml:space="preserve">Workplace Setting, Office Setting, Teamwork, Hardworking Female Lead, Mental Illness, Cold Female Lead, Successful Female Lead, Orphan Female Lead, Office Worker Female Lead, Gender Inequality </t>
  </si>
  <si>
    <t>Lee Bo Young, Jo Sung Ha, Son Na Eun, Han Joon Woo</t>
  </si>
  <si>
    <t>#289</t>
  </si>
  <si>
    <t xml:space="preserve">Crash </t>
  </si>
  <si>
    <t>8.1</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</si>
  <si>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t>
  </si>
  <si>
    <t xml:space="preserve">Police Department Setting, Investigation, Teamwork, Teammates' Relationship, Co-workers' Relationship, Martial Artist Female Lead, Analyst Male Lead, Police Inspector Supporting Character, Senior-Junior Relationship, Chief Of Police Supporting Character </t>
  </si>
  <si>
    <t>Lee Min Ki, Kwak Sun Young, Heo Sung Tae</t>
  </si>
  <si>
    <t>#290</t>
  </si>
  <si>
    <t>The Queen Who Crowns</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</si>
  <si>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t>
  </si>
  <si>
    <t xml:space="preserve">Palace Setting, King Male Lead, Queen Female Lead, Taejong, Inferiority Complex, Royalty, Joseon Dynasty, Based On A True Story, Married Female Lead, Married Male Lead </t>
  </si>
  <si>
    <t>Lee Hyun Wook, Lee Yi Dam, Lee Shi Ah, Cha Joo Young</t>
  </si>
  <si>
    <t>#291</t>
  </si>
  <si>
    <t>Miss Night and Day</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</si>
  <si>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t>
  </si>
  <si>
    <t xml:space="preserve">Double Identity, Investigation, Prosecutor Male Lead, Intern Female Lead, Unemployed Female Lead, Job Seeking, Father-Daughter Relationship, Mistaken Identity, Student Female Lead, Part-time Worker Female Lead </t>
  </si>
  <si>
    <t>Jung Eun Ji, Choi Jin Hyuk, Baek Seo Hoo, Lee Jung Eun</t>
  </si>
  <si>
    <t>#292</t>
  </si>
  <si>
    <t>Our Blooming Youth</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</si>
  <si>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t>
  </si>
  <si>
    <t>Historical, Mystery, Romance, Drama</t>
  </si>
  <si>
    <t xml:space="preserve">Prince Male Lead, Wrongfully Accused, Investigation, Cross-Dressing, Slow Burn Romance, Star Crossed Lovers, Slight Comedy, Slow Burn Story, Bantering Relationship, Curse </t>
  </si>
  <si>
    <t>Heo Won Seo, Lee Tae Sun, Yoon Jong Seok, Pyo Ye Jin, Jeon So Nee, Park Hyung Sik</t>
  </si>
  <si>
    <t>#293</t>
  </si>
  <si>
    <t>True to Love</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</si>
  <si>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t>
  </si>
  <si>
    <t xml:space="preserve">Heartbreak, Love/Hate Relationship, Nice Male Lead, Best Friends' Relationship, Multiple Couples, Enemies To Lovers, Writer Female Lead, Inner Monologue, Jealousy, Sibling Rivalry </t>
  </si>
  <si>
    <t>Yoo In Na, Yoon Hyun Min, Joo Sang Wook, Hwang Chan Sung</t>
  </si>
  <si>
    <t>#294</t>
  </si>
  <si>
    <t>Doctor Cha</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</si>
  <si>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t>
  </si>
  <si>
    <t>Comedy, Life, Drama, Medical</t>
  </si>
  <si>
    <t>Starting Over, Hospital Setting, Rivals To Enemies, Unhealthy Mains' Relationship, Extramarital Affair, Loveless Marriage, Family Relationship, Second Chance, Mean Male Lead, Rivalry</t>
  </si>
  <si>
    <t>Uhm Jung Hwa, Kim Byung Chul, Myung Se Bin, Min Woo Hyuk</t>
  </si>
  <si>
    <t>#295</t>
  </si>
  <si>
    <t xml:space="preserve">The Secret Romantic Guesthouse </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</si>
  <si>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t>
  </si>
  <si>
    <t xml:space="preserve">Hidden Identity, Joseon Dynasty, Teamwork, Friendship, Investigation, Childhood Connection, Secret, Boarding House Setting, Debt Passed To Children, Scholar Male Lead </t>
  </si>
  <si>
    <t>Shin Ye Eun, Ryeoun, Kang Hoon, Jung Gun Joo</t>
  </si>
  <si>
    <t>#296</t>
  </si>
  <si>
    <t xml:space="preserve">Unmasked </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</si>
  <si>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t>
  </si>
  <si>
    <t>Thriller, Mystery, Comedy, Drama</t>
  </si>
  <si>
    <t xml:space="preserve">Broadcasting Industry, Workplace Setting, Workplace Politics, Producer Male Lead, Cold Case, Journalist Female Lead, Reporter Female Lead, Office Rivals, Brave Female Lead, Stalking </t>
  </si>
  <si>
    <t>Kim Hye Soo, Jung Sung Il, Joo Jong Hyuk, Shin Jung Keun</t>
  </si>
  <si>
    <t>#297</t>
  </si>
  <si>
    <t xml:space="preserve">The Whirlwind </t>
  </si>
  <si>
    <t>Park Dong Ho is the prime minister of South Korea. He wants to punish the corrupt president, who colludes with powerful family owned corporations called chaebols, and change the world of politics. Jung Soo Jin is the deputy prime minister for economic affairs. She confronts Park Dong Ho and a fierce political strife ensues.</t>
  </si>
  <si>
    <t>Political Intrigue, Power Struggle, Corruption, Suspense, Prime Minister Male Lead</t>
  </si>
  <si>
    <t>Kim Hee Ae, Sul Kyung Gu</t>
  </si>
  <si>
    <t>#298</t>
  </si>
  <si>
    <t>The Midnight Studio</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</si>
  <si>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familyâ€™s legacy comes with a dark fateâ€”none have lived beyond their 35th birthday. Ki Jooâ€™s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t>
  </si>
  <si>
    <t>Romance, Drama, Fantasy</t>
  </si>
  <si>
    <t xml:space="preserve">Supernatural, Curse, Photographer Male Lead, Lawyer Female Lead, Ghost-seeing Male Lead, Lonely Male Lead, Passionate Female Lead, Affectionate Mains' Relationship, Ghost-seeing Female Lead, Bickering Mains' Relationship </t>
  </si>
  <si>
    <t>Joo Won, Kwon Na Ra, Yoo In Soo, Eum Moon Suk</t>
  </si>
  <si>
    <t>#299</t>
  </si>
  <si>
    <t>Blood Free</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</si>
  <si>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t>
  </si>
  <si>
    <t>Thriller, Drama, Sci-Fi</t>
  </si>
  <si>
    <t xml:space="preserve">Biotechnology, Food Industry, Artificial Intelligence, Genetic Engineering, Experiment, Rich Female Lead, Bodyguard Supporting Character, Bodyguard Male Lead, Company President (CEO) Female Lead, Multiple Mains </t>
  </si>
  <si>
    <t>Ju Ji Hoon, Han Hyo Joo, Lee Hee Joon, Lee Moo Saeng, Park Ji Yeon</t>
  </si>
  <si>
    <t>#300</t>
  </si>
  <si>
    <t>Missing Crown Prince</t>
  </si>
  <si>
    <t>A Joseon-era version of a romantic comedy about a crown prince who is mistakenly kidnapped by the family of the woman who he has been pledged to marry. While on the run for their lives, romance blossoms between the two.</t>
  </si>
  <si>
    <t>Historical, Comedy, Romance, Political</t>
  </si>
  <si>
    <t xml:space="preserve">Age Gap [Real Life], Responsible Male Lead, Slight Mystery, Protective Male Lead, Warm Male Lead, Strangers To Lovers, Loyal Friend, Brothers Love Same Woman, Long Time Crush, Physically Strong Male Lead </t>
  </si>
  <si>
    <t>Suho, Hong Ye Ji, Myung Se Bin, Kim Min Kyu, Kim Joo Heon</t>
  </si>
  <si>
    <t>#301</t>
  </si>
  <si>
    <t>Brain Works</t>
  </si>
  <si>
    <t>Sin Ha Ru works as a neuroscientist. He comes from a family that has had doctors for 3 generations and he is wealthy from inherited property. Sin Ha Ru is a confident person who acts and speaks according to his convictions, but he has no mercy for people he views as scum.Geum Myeong Se works as a detective. He acts and speaks surly around people, which causes people unfamiliar with him to assume he might be a corrupt cop. In reality, Geum Myeong Se is a kind and righteous detective. He was also once married to Kim Mo Ran. She has a particularly strong libido.Sin Ha Ru and Geum Myeong Se solve criminal cases together with the help of hypnotic investigator Seol So Jeong.</t>
  </si>
  <si>
    <t>Mystery, Comedy</t>
  </si>
  <si>
    <t>Crime Solving Duo, Polar Opposites, Teamwork, Aggressive Male Lead, Investigation, Smart Male Lead, Murder, Rich Male Lead, Psychology, Chronic Illness</t>
  </si>
  <si>
    <t>Ye Ji Won, Kwak Sun Young, Cha Tae Hyun, Jung Yong Hwa</t>
  </si>
  <si>
    <t>#302</t>
  </si>
  <si>
    <t>Captivating the King</t>
  </si>
  <si>
    <t>7.9</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</si>
  <si>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t>
  </si>
  <si>
    <t>Political Intrigue, Hidden Identity, Palace Setting, Joseon Dynasty, Go Game, Revenge, Double Identity, Espionage, Power Struggle, Mystery</t>
  </si>
  <si>
    <t>Jo Jung Suk, Shin Sae Kyeong, Lee Shin Young</t>
  </si>
  <si>
    <t>#303</t>
  </si>
  <si>
    <t>For Eagle Brothers</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</si>
  <si>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t>
  </si>
  <si>
    <t>Comedy, Romance, Family</t>
  </si>
  <si>
    <t xml:space="preserve">Supportive In-Law, Chairman Male Lead, Widow Female Lead, Widower Male Lead, Single Father Male Lead, Successful Male Lead, Smart Male Lead, Death, Family Secret, Multiple Couples </t>
  </si>
  <si>
    <t>Uhm Ji Won, Ahn Jae Wook, Choi Dae Chul, Kim Dong Wan, Yoon Park, Lee Seok Gi</t>
  </si>
  <si>
    <t>#304</t>
  </si>
  <si>
    <t xml:space="preserve">Battle for Happiness </t>
  </si>
  <si>
    <t>A suspense drama depicting mothers engaged in a fierce social media battle to destroy each others' happiness for their own, to free themselves from oppression, hurt, and secrets, and regain their true selves.</t>
  </si>
  <si>
    <t>Female Centered Plot, Office Worker Supporting Character, Office Worker Female Lead, Child Supporting Character, Teacher Supporting Character, Attorney Supporting Character, Doctor Supporting Character, Hatred, Flashback To Past, Social Media (</t>
  </si>
  <si>
    <t>Park Hyo Joo, Lee El, Jin Seo Yun, Cha Ye Ryun</t>
  </si>
  <si>
    <t>#305</t>
  </si>
  <si>
    <t>Joseon Attorney: A Morality</t>
  </si>
  <si>
    <t>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Kangâ€™s growth both professionally and personally.</t>
  </si>
  <si>
    <t>Historical, Law, Romance, Drama</t>
  </si>
  <si>
    <t>Joseon Dynasty, Revenge, Adapted From A Webtoon, Princess Female Lead, Injustice, Lawyer Male Lead, Historical Fiction, Orphan Male Lead, Double Identity, Character Development</t>
  </si>
  <si>
    <t>Woo Do Hwan, Bona, Cha Hak Yeon</t>
  </si>
  <si>
    <t>#306</t>
  </si>
  <si>
    <t>Delightfully Deceitful</t>
  </si>
  <si>
    <t>7.8</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</si>
  <si>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t>
  </si>
  <si>
    <t>Comedy, Crime, Drama</t>
  </si>
  <si>
    <t xml:space="preserve">Revenge, Polar Opposites, Trauma, Swindler Female Lead, Teamwork, Smart Female Lead, Fraud, Breaking The Fourth Wall, Nice Male Lead, Lawyer Male Lead </t>
  </si>
  <si>
    <t>Chun Woo Hee, Kim Dong Wook, Yoon Park, Park So Jin</t>
  </si>
  <si>
    <t>#307</t>
  </si>
  <si>
    <t>A Killer Paradox</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</si>
  <si>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t>
  </si>
  <si>
    <t>Thriller, Mystery, Psychological, Comedy</t>
  </si>
  <si>
    <t xml:space="preserve">Black Comedy, Sexual Content, Morally Ambiguous Male Lead, Detective Male Lead, Dark Fiction, Nudity, Adapted From A Webtoon, Dog, Violence, Investigation </t>
  </si>
  <si>
    <t>Choi Woo Shik, Son Suk Ku, Lee Hee Joon</t>
  </si>
  <si>
    <t>#308</t>
  </si>
  <si>
    <t xml:space="preserve">Numbers </t>
  </si>
  <si>
    <t>Ho Woo is the first and only high school graduate accountant to join the top accounting firm in the country. With his outstanding memory, observation, adaptation, and sense of justice that ordinary accountants rarely have, he is more than a perfect employee. Je Kyun and Seung Jo are father and son, and Je Kyun is the Vice President of the accounting firm. Despite the fact that he is well-known for his generous personality, he is a man who does not hesitate to get what he wants. Seung Jo is the ace accountant of the firm who's quite the opposite of Ho Woo. These two work together with numbers to achieve their own goals. Their goals are different, but they are headed towards the same target. Will they be able to serve justice in this accounting firm?</t>
  </si>
  <si>
    <t xml:space="preserve">Accountant Male Lead, Corruption, Smart Male Lead, Workplace Setting, Office Setting, Bromance, Workplace Politics, Injustice, Revenge, High School To Working Life </t>
  </si>
  <si>
    <t>L, Choi Jin Hyuk, Choi Min Soo, Yeon Woo, Kim Yoo Ri</t>
  </si>
  <si>
    <t>#309</t>
  </si>
  <si>
    <t>Delivery Man</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</si>
  <si>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t>
  </si>
  <si>
    <t>Mystery, Comedy, Romance, Supernatural</t>
  </si>
  <si>
    <t>Taxi Setting, Taxi Driver Male Lead, Ghost Female Lead, Ghost, Older Woman/Younger Man, Death, Ghost-seeing Male Lead, Amnesia, Investigation, Death Of A Mother</t>
  </si>
  <si>
    <t>Yoon Chan Young, Bang Min Ah, Kim Min Seok</t>
  </si>
  <si>
    <t>#310</t>
  </si>
  <si>
    <t xml:space="preserve">The Witch </t>
  </si>
  <si>
    <t>7.7</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</si>
  <si>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t>
  </si>
  <si>
    <t>Mystery, Romance, Drama</t>
  </si>
  <si>
    <t>Cursed Female Lead, Unlucky Female Lead, Smart Male Lead, Investigation, Data Miner Male Lead, False Rumor, Difficult Adulthood, Translator Female Lead, Lonely Female Lead, Quiet Female Lead</t>
  </si>
  <si>
    <t>Park Jin Young, Roh Jeong Eui</t>
  </si>
  <si>
    <t>#311</t>
  </si>
  <si>
    <t>Payback: Money and Power</t>
  </si>
  <si>
    <t>â€œPaybackâ€ follows the revenge story of a group of peopleâ€”including Eun Yong, a money traderâ€”who refuses to remain silent in the face of unjust authorities and fight against a cartel conspiring with the law.</t>
  </si>
  <si>
    <t>Thriller, Mystery, Business, Drama</t>
  </si>
  <si>
    <t xml:space="preserve">Uncle-Nephew Relationship, Finance Industry, Fight For Justice, Corruption, Money-Obsession, Revenge, Rich Male Lead, Business Industry, Former Prosecutor Female Lead, Co-workers' Relationship </t>
  </si>
  <si>
    <t>Kang Yoo Seok, Moon Chae Won, Lee Sun Kyun, Park Hoon</t>
  </si>
  <si>
    <t>#312</t>
  </si>
  <si>
    <t xml:space="preserve">The Escape of the Seven: Resurrection </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</si>
  <si>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t>
  </si>
  <si>
    <t>Revenge, Greed, Betrayal, Suspense, Hatred, Picaresque, Secret, Survival, Investigation, Melodrama</t>
  </si>
  <si>
    <t>Uhm Ki Joon, Hwang Jung Eum, Lee Joon, Lee Yoo Bi, Shin Eun Kyung, Yoon Jong Hoon</t>
  </si>
  <si>
    <t>#313</t>
  </si>
  <si>
    <t>Lies Hidden in My Garden</t>
  </si>
  <si>
    <t>Moon Ju Ran, a housewife married to a doctor, lives a peaceful life in her familyâ€™s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t>
  </si>
  <si>
    <t xml:space="preserve">Rich Woman/Poor Woman, Post-traumatic Stress Disorder (PTSD), Perfectionist Male Lead, Psychological Manipulation, Perfectionist Female Lead, Extortion, Gaslighting, Obsessive Male Lead, Depression, Domestic Violence </t>
  </si>
  <si>
    <t>Kim Tae Hee, Im Ji Yeon, Kim Sung Oh, Choi Jae Rim</t>
  </si>
  <si>
    <t>#314</t>
  </si>
  <si>
    <t>Mi Na, Did You Change Your Profile Picture Again?</t>
  </si>
  <si>
    <t>The humorous and realistic tale of Mina, a 29-year-old single woman questioning the direction of her life. As her friends settle down in marriage and she navigates through failed relationships in her twenties, Mina finds herself frequently switching between boyfriends and profile pictures. Will she rediscover the capacity to love?</t>
  </si>
  <si>
    <t>Romance</t>
  </si>
  <si>
    <t>Miniseries, Web Series</t>
  </si>
  <si>
    <t>Kim Tae Young, Lim Hyoun Soo, Lee Tae Hyung, Moon Xion</t>
  </si>
  <si>
    <t>#315</t>
  </si>
  <si>
    <t>Stealer: The Treasure Keeper</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</si>
  <si>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heâ€™s a daring thief. As the Seoul Metropolitan Police recovers missing assets, both of his lives begin to unravel.</t>
  </si>
  <si>
    <t>Action, Adventure, Mystery, Comedy</t>
  </si>
  <si>
    <t xml:space="preserve">Double Identity, Thief Male Lead, Heist, Staged Death, Physically Strong Female Lead, Physically Strong Male Lead, Emotionally Strong Female Lead, Cultural Heritage, Police Inspector Female Lead, Police Inspector Male Lead </t>
  </si>
  <si>
    <t>Lee Joo Woo. Jo Han Chul, Kim Jae Won, Choi Hwa Jung, Lee Deok Hwa, Joo Won</t>
  </si>
  <si>
    <t>#316</t>
  </si>
  <si>
    <t>Love Song for Illusion</t>
  </si>
  <si>
    <t>7.6</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</si>
  <si>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twistsâ€”going from assassin to concubine. Disguised as Gye Ra, she seeks revenge for her family, but after an assassination attempt on the king goes wrong, she wakes up with no memory of her past.</t>
  </si>
  <si>
    <t>Historical, Romance, Fantasy</t>
  </si>
  <si>
    <t>Dissociative Identity Disorder, Revenge, Adapted From A Webtoon, Concubine Female Lead, Manipulative Male Lead, Historical Fiction, Trauma, Curse, Physically Strong Female Lead, Physically Strong Male Lead</t>
  </si>
  <si>
    <t>Park Ji Hoon, Hong Ye Ji, Hwang Hee, Ji Woo</t>
  </si>
  <si>
    <t>#317</t>
  </si>
  <si>
    <t>The 8 Show</t>
  </si>
  <si>
    <t>Eight severely indebted people take part in a weird game that changes their lives forever. The rules seem simple</t>
  </si>
  <si>
    <t>#318</t>
  </si>
  <si>
    <t>Oasis</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</si>
  <si>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t>
  </si>
  <si>
    <t>Romance, Youth, Drama, Melodrama</t>
  </si>
  <si>
    <t>1980s, 1990s, Gangster Male Lead, Secret, Family Secret, Poor Male Lead, Transfer Student Female Lead, Student Male Lead, School Setting, Childhood Friends' Relationship</t>
  </si>
  <si>
    <t>Jang Dong Yoon, Seol In Ah, Choo Young Woo</t>
  </si>
  <si>
    <t>#319</t>
  </si>
  <si>
    <t>The Midnight Romance in Hagwon</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</si>
  <si>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â€œMiracle of Daechi.â€ Just when her life begins to feel settled, former pupil and troublemaker Lee Joon Ho, whom she'd helped get into a prestigious university ten years previously, shows up and stirs up chaos.</t>
  </si>
  <si>
    <t>Romance, Life, Melodrama</t>
  </si>
  <si>
    <t xml:space="preserve">Education Industry, Co-workers' Relationship, Workplace Setting, Teenager Supporting Character, Older Woman/Younger Man, Age Gap [Drama Life], Age Gap [Real Life], Mature Female Lead, Student Supporting Character, School Setting </t>
  </si>
  <si>
    <t>Jung Ryeo Won, Wi Ha Joon</t>
  </si>
  <si>
    <t>#320</t>
  </si>
  <si>
    <t>Branding in Seongsu</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</si>
  <si>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t>
  </si>
  <si>
    <t>Thriller, Romance, Supernatural</t>
  </si>
  <si>
    <t xml:space="preserve">Bickering Mains' Relationship, Body Swap, Businesswoman Female Lead, Workaholic Female Lead, Age Gap [Real Life], Warm Man/Cold Woman, Gender Swap, Smart Female Lead, Older Woman/Younger Man, Identity Swap </t>
  </si>
  <si>
    <t>Kim Ji Eun, Lomon, Yang Hye Ji, Kim Ho Young</t>
  </si>
  <si>
    <t>#321</t>
  </si>
  <si>
    <t>The Scandal of Chun Hwa</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</si>
  <si>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t>
  </si>
  <si>
    <t xml:space="preserve">Princess Female Lead, Historical Fiction, Royalty, Playboy Male Lead, Miniseries, Sexual Content, Nudity, Web Series, Rich Male Lead, Joseon Dynasty </t>
  </si>
  <si>
    <t>Go A Ra, Chang Ryul</t>
  </si>
  <si>
    <t>#322</t>
  </si>
  <si>
    <t>Pale Moon</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</si>
  <si>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</si>
  <si>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</si>
  <si>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t>
  </si>
  <si>
    <t>#323</t>
  </si>
  <si>
    <t>Bitch X Rich</t>
  </si>
  <si>
    <t>7.5</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</si>
  <si>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Naâ€™s rivalry with Kim Hye In as they are pitted against each other in mental warfare.</t>
  </si>
  <si>
    <t>Thriller, Mystery, Youth, Drama</t>
  </si>
  <si>
    <t xml:space="preserve">Transfer Student Female Lead, Student Female Lead, Student Male Lead, School Setting, Teenager Female Lead, Teenager Male Lead, Rich Female Lead, Poor Female Lead, Miniseries, Death </t>
  </si>
  <si>
    <t>Lee Eun Saem, Ye Ri, Lee Jong Hyuk, Yoo Jung Hoo</t>
  </si>
  <si>
    <t>#324</t>
  </si>
  <si>
    <t xml:space="preserve">Su Ji &amp; U Ri </t>
  </si>
  <si>
    <t>Jin Soo Ji is a superstar psychiatrist at Haedeul Hospital, juggling fame and a hectic schedule of TV shows, book tours, and fan events, leaving her with barely three hours of sleep a day. Her seemingly perfect life takes a turn when Chae Woo Ri, a new doctor, joins the team. Talented and driven by justice, Woo Ri sees Soo Ji as selfish and ambitious, sparking constant clashes. But when scandals force Soo Ji to disappear, Woo Ri begins to see her struggles in a new light. Can their rocky relationship take a surprising turn?</t>
  </si>
  <si>
    <t>Romance, Drama, Family, Medical</t>
  </si>
  <si>
    <t xml:space="preserve">: Enemies To Lovers, Nice Male Lead, Love Triangle, Estranged Sibling, Ex Comes Back, Half-Sibling Rivalry, Strategic Planning Director Male Lead, Jealous Sibling, Resident Doctor Female Lead, Bickering Mains' Relationship </t>
  </si>
  <si>
    <t>Ham Eun Jung, Baek Sung Hyun, Oh Hyun Kyung, Kang Byul, Shin Jung Yoon</t>
  </si>
  <si>
    <t>#325</t>
  </si>
  <si>
    <t xml:space="preserve">Family: The Unbreakable Bond </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</si>
  <si>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faÃ§ade.</t>
  </si>
  <si>
    <t>Action, Thriller, Comedy, Drama</t>
  </si>
  <si>
    <t xml:space="preserve">Spy Male Lead, Married Life, Double Identity, Romance, Hidden Identity, Family Struggle, Trader Male Lead, Sniper Male Lead, Married Female Lead, Married Male Lead </t>
  </si>
  <si>
    <t>Jang Hyuk, Jang Na Ra, Chae Jung An, Kim Nam Hee</t>
  </si>
  <si>
    <t>#326</t>
  </si>
  <si>
    <t>Uncle Samsik</t>
  </si>
  <si>
    <t>Set in 1960s South Korea. The series follows two men through their bromance and the obstacles they face during a turbulent time in the countryâ€™s history. It depicts the story of Park Doo Chil, who is known as Uncle Samsik, who always has three meals a day, even during the war, and Kim San, an elite man from the Korean Military Academy, who wants to create a country where everyone lives well.</t>
  </si>
  <si>
    <t xml:space="preserve">Student Supporting Character, Partners' Relationship, Activist Supporting Character, Businessman/Businesswoman Supporting Character, General Supporting Character, Soldier Supporting Character, Soldier Male Lead, Politician Supporting Character, Reporter Supporting Character, Intergenerational Friendship </t>
  </si>
  <si>
    <t>Song Kang Ho, Byun Yo Han, Lee Kyu Hyung, Jin Ki Joo, Seo Hyun Woo</t>
  </si>
  <si>
    <t>#327</t>
  </si>
  <si>
    <t xml:space="preserve">Hide </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</si>
  <si>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t>
  </si>
  <si>
    <t>Difficult Adulthood, Searching For A Significant Other, Former Prosecutor Female Lead, Non-MDL Remake, Ex-Convict Male Lead, Married Female Lead, Married Male Lead, Neighbors' Relationship, Detective Supporting Character, Company President (CEO) Female Lead</t>
  </si>
  <si>
    <t>Lee Bo Young, Lee Moo Saeng, Lee Chung Ah, Lee Min Jae</t>
  </si>
  <si>
    <t>#328</t>
  </si>
  <si>
    <t>The Heavenly Idol</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</si>
  <si>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t>
  </si>
  <si>
    <t>Transmigration, Idol Male Lead, Body Swap, Priest Male Lead, Music Industry, Physically Strong Male Lead, Emotionally Strong Female Lead, Emotionally Strong Male Lead, Adapted From A Web Novel, Age Gap</t>
  </si>
  <si>
    <t>Kim Min Gue, Go Bo Gyeol, Lee Jang Woo, Ye Ji Won</t>
  </si>
  <si>
    <t>#329</t>
  </si>
  <si>
    <t>Queen of Divorce</t>
  </si>
  <si>
    <t>7.4</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</si>
  <si>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t>
  </si>
  <si>
    <t>Action, Comedy, Romance</t>
  </si>
  <si>
    <t xml:space="preserve">Divorced Female Lead, Drama, Law, Teamwork, Investigation, Slight Suspense, Badass Female Lead, Mystery, Betrayed By A Significant Other, Workplace Setting </t>
  </si>
  <si>
    <t>Lee Ji Ah, Kang Ki Young</t>
  </si>
  <si>
    <t>#330</t>
  </si>
  <si>
    <t xml:space="preserve">Newtopia </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</si>
  <si>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t>
  </si>
  <si>
    <t>Action, Horror, Romance, Fantasy</t>
  </si>
  <si>
    <t xml:space="preserve">Zombies, Comedy, City Setting, Hotelier Supporting Character, Engineer Female Lead, Chef Supporting Character, Soldier Male Lead, Team Leader Male Lead, Company President (CEO) Supporting Character, Zombie Apocalypse </t>
  </si>
  <si>
    <t>Ji Soo, Park Jeong Min</t>
  </si>
  <si>
    <t>#331</t>
  </si>
  <si>
    <t>Frankly Speaking</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</si>
  <si>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Baekâ€™s harsh language, and she gets him to appear on her variety show.</t>
  </si>
  <si>
    <t xml:space="preserve">Honest Male Lead, Entertainment Industry, Broadcasting Industry, Ex Comes Back, Blunt Male Lead, Announcer Male Lead, Writer Female Lead, Straightforward Male Lead, Adopted Female Lead, Friendship </t>
  </si>
  <si>
    <t>Go Kyung Pyo, Kang Han Na, Joo Jong Hyuk</t>
  </si>
  <si>
    <t>#332</t>
  </si>
  <si>
    <t xml:space="preserve">The Bequeathed </t>
  </si>
  <si>
    <t>A woman inherits a gravesite under mysterious circumstances, just as her family's history begins to unravel.</t>
  </si>
  <si>
    <t xml:space="preserve">Suspense, Family Secret, Investigation, Detective Male Lead, Village Setting, Death, Occult, Half-sister-Half-brother Relationship, Miniseries, Monk/Nun Supporting Character </t>
  </si>
  <si>
    <t>Kim Hyun Joo, Park Hee Soon, Park Byung Eun, Ryu Kyung Soo</t>
  </si>
  <si>
    <t>#333</t>
  </si>
  <si>
    <t xml:space="preserve">Pandora: Beneath the Paradise </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</si>
  <si>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t>
  </si>
  <si>
    <t>Action, Thriller, Drama, Melodrama</t>
  </si>
  <si>
    <t xml:space="preserve">Physically Strong Female Lead, Dishonest Male Lead, Evil Step-Parent, Evil Parent, Broadcasting Industry, Mistaken To Be Betrayed, Protective Female Lead, Married Supporting Character, Married Female Lead, Married Male Lead </t>
  </si>
  <si>
    <t>Lee Ji Ah, Lee Sang Yoon, Jang Hee Jin, Park Ki Woong, Bong Tae Kyu</t>
  </si>
  <si>
    <t>#334</t>
  </si>
  <si>
    <t>Queen of Masks</t>
  </si>
  <si>
    <t>7.3</t>
  </si>
  <si>
    <t>Do Jae Yi is a human rights lawyer who has built up a large following on social media. She has a reputation for defending the vulnerable and victims of sexual crime. Ten years ago, she was the victim of a terrible, haunting crime. Now, she has become a veritable â€œqueen of masks.â€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womenâ€™s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t>
  </si>
  <si>
    <t xml:space="preserve">Best Friends' Relationship, Female Centered Plot, Betrayed By A Friend, Drug Addict Female Lead, Lawyer Female Lead, Evil Female Lead, Illegitimate Female Lead, Fight For Justice, Flashback To Past, Hardworking Female Lead </t>
  </si>
  <si>
    <t>Kim Sun Ah, Oh Yoon Ah, Shin Eun Jung, Yoo Sun</t>
  </si>
  <si>
    <t>#335</t>
  </si>
  <si>
    <t>Motel California</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</si>
  <si>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t>
  </si>
  <si>
    <t>Romance, Drama</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</si>
  <si>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</si>
  <si>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t>
  </si>
  <si>
    <t>#336</t>
  </si>
  <si>
    <t>LTNS</t>
  </si>
  <si>
    <t>The days of burning with sexual desire and lusting after each otherâ€™s bodies are long gone, and Woo Jin and Samuel have evolved into a somewhat withered couple, both physically and emotionally. By coincidence, they find themselves forming a blackmail team that specializes in exposing cheating couples, seeking an opportunity to turn their lives around.</t>
  </si>
  <si>
    <t>Comedy, Drama</t>
  </si>
  <si>
    <t xml:space="preserve">Receptionist Female Lead, Bank Teller Supporting Character, Married Supporting Character, Married Female Lead, Married Male Lead, Hotelier Female Lead, Office Worker Supporting Character, Taxi Driver Male Lead, Married Life, Ambitious Female Lead </t>
  </si>
  <si>
    <t>Esom, Ahn Jae Hong</t>
  </si>
  <si>
    <t>#337</t>
  </si>
  <si>
    <t>The Real Has Come!</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</si>
  <si>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t>
  </si>
  <si>
    <t xml:space="preserve">Pregnancy, Fake To Real Lovers, Contract Relationship, Family Relationship, Cohabitation, Multiple Couples, Big Family, Family Pressure, Adopted Male Lead, Gynecologist Male Lead </t>
  </si>
  <si>
    <t>Baek Jin Hee, Ahn Jae Hyun, Cha Joo Young, Jung Eui Jae</t>
  </si>
  <si>
    <t>#338</t>
  </si>
  <si>
    <t>Kokdu: Season of Deity</t>
  </si>
  <si>
    <t>7.2</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</si>
  <si>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Woo. However, his mission becomes intricate when he must perform Jin Woo's medical duties. In an unexpected twist, Kkok Du encounters Han Gye Jeol, a doctor from a lesser-known school, yet harboring enigmatic powers that captivate him. Are their destinies intertwined from a past life, and why does she wield such influence over him?</t>
  </si>
  <si>
    <t>Comedy, Romance, Medical, Fantasy</t>
  </si>
  <si>
    <t>Bickering Mains' Relationship, Fate, Grim Reaper Male Lead, Past Life, Reincarnated Lovers, Curse, Reincarnation, Doctor Female Lead, Flashback To Past, Supernatural Power</t>
  </si>
  <si>
    <t>Kim Jung Hyun, Im Soo Hyang, Kim Da Som, Ahn Woo Yeon</t>
  </si>
  <si>
    <t>#339</t>
  </si>
  <si>
    <t xml:space="preserve">Nothing Uncovered </t>
  </si>
  <si>
    <t>KBM Reporter Seo Jung Won is known as the Villain Hunter. Her show, â€œNothing Uncovered,â€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Wonâ€™s husband, and he's a famous mystery writer from a wealthy family. Although heâ€™s a romantic whoâ€™s willing to do anything for Jung Won, he has been secretly hiding his wounded heart. And now, the three are deeply involved in serial murders.</t>
  </si>
  <si>
    <t xml:space="preserve">Married Life, Investigation, Age Gap [Real Life], Broadcasting Industry, Supportive Friend, Betrayed By A Significant Other, News Station Setting, Partners' Relationship, News Director Supporting Character, Former Prosecutor Supporting Character </t>
  </si>
  <si>
    <t>Kim Ha Neul, Yeon Woo Jin, Jang Seung Jo</t>
  </si>
  <si>
    <t>#340</t>
  </si>
  <si>
    <t>Beauty and Mr. Romantic</t>
  </si>
  <si>
    <t>Park Do Ra is a bright, brave woman with a challenging personality who became a top actress because her mother, Baek Mi Ja, said it was the only way to escape poverty. After earning fame and fortune as a top star, all Do Ra wants to do is rest and enjoy her riches, but her mother keeps causing trouble. Mi Ja always adorns herself in luxury, even more than any top star, thanks to Do Ra's success. However, Mi Ja wants more. Do Ra can't handle her tight schedule due to Mi Ja's desires and wants to quit her new drama "Straightforward Romance," but she can't because she met her first love, Go Pil Sung, the assistant director. Pil Sung is passionate about his job but tries to leave "Straightforward Romance" because of Do Ra, who was very particular to him when he was young. Unfortunately, an unusual assignment to exclusively lead her falls in his lap. Will Do Ra find her happiness by escaping her mother's never-ending desires?</t>
  </si>
  <si>
    <t>Romance, Drama, Family, Melodrama</t>
  </si>
  <si>
    <t xml:space="preserve">Age Gap [Real Life], Nice Male Lead, Debt, First Love, Unrequited Love, Age Gap [Drama Life], Meet Again, Emotionally Strong Male Lead, Famous Woman/Common Man, Energetic Male Lead </t>
  </si>
  <si>
    <t>Im Soo Hyang, Ji Hyun Woo</t>
  </si>
  <si>
    <t>#341</t>
  </si>
  <si>
    <t>Kick Kick Kick Kick</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</si>
  <si>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t>
  </si>
  <si>
    <t>Comedy, Sitcom</t>
  </si>
  <si>
    <t>Actor Male Lead, Company President (CEO) Male Lead</t>
  </si>
  <si>
    <t>Ji Jin Hee, Lee Kyu Hyung, Baek Ji Won, Lee Min Jae</t>
  </si>
  <si>
    <t>#342</t>
  </si>
  <si>
    <t>Strangers Again</t>
  </si>
  <si>
    <t>Oh Ha Ra is a hotshot divorce lawyer whose nickname in legal circles is â€œthe â€œgoddess of litigation.â€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anotherâ€™s skin! Will Cupid rescue this group of lawyers â€“ or will chaos break loose in the courtroom?</t>
  </si>
  <si>
    <t>Law, Romance, Drama</t>
  </si>
  <si>
    <t xml:space="preserve">Bickering Mains' Relationship, Ex-spouse Relationship, Unhealthy Mains' Relationship, Second Chance Romance, Love/Hate Relationship, Co-workers' Relationship, Miscommunication, Slight Comedy, Secondary Couple, Flashback To Past </t>
  </si>
  <si>
    <t>Kang So Ra, Jang Seung Jo</t>
  </si>
  <si>
    <t>#343</t>
  </si>
  <si>
    <t xml:space="preserve">Race </t>
  </si>
  <si>
    <t>Office politics take center stage for marketer Park Yun Jo, whose lack of an academic background wonâ€™t deter her dedication to her work, and the smart and just Ryu Jae Min, who lacks any expectations towards their company.</t>
  </si>
  <si>
    <t>Business, Romance, Drama, Melodrama</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</si>
  <si>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</si>
  <si>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t>
  </si>
  <si>
    <t>#344</t>
  </si>
  <si>
    <t>Dare to Love Me</t>
  </si>
  <si>
    <t>7.1</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</si>
  <si>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t>
  </si>
  <si>
    <t>Older Woman/Younger Man, Emotionally Strong Female Lead, Intern Female Lead, Scholar Male Lead, Fashion Designer Female Lead, Heir Male Lead, Chasing A Dream, Fashion Industry, Brother-Sister Relationship, Determined Female Lead</t>
  </si>
  <si>
    <t>L, Lee Yoo Young, Bae Jong Ok, Sunwoo Jae Duk</t>
  </si>
  <si>
    <t>#345</t>
  </si>
  <si>
    <t>Hierarchy</t>
  </si>
  <si>
    <t>6.9</t>
  </si>
  <si>
    <t>Jooshin High School, the most prestigious in South Korea, was established by the Jooshin Group and admits only students selected at birth. Among them are Jeong Jae Yi, daughter of the Jaeyool Group's head</t>
  </si>
  <si>
    <t>#346</t>
  </si>
  <si>
    <t xml:space="preserve">Oh! Youngsim </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</si>
  <si>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didnâ€™t feel the same, they lost contact after he moved to the U.S. Now, 20 years later, Wang Kyung Tae returns as CEO Mark Wang. PD Lee Chae Dong, her supportive colleague, and her friend Goo Wol Sook, who runs a popular YouTube channel, are also part of her life.</t>
  </si>
  <si>
    <t xml:space="preserve">Childhood Acquaintances Reuniting, Producer Female Lead, Entertainment Industry, First Love Returns, Producer Supporting Character, Childhood Crush, Miniseries, Adapted From An Aeni, Bickering Mains' Relationship, Startup </t>
  </si>
  <si>
    <t>Song Ha Yoon, Lee Dong Hae, Lee Min Jae, Ryu Hyo Young</t>
  </si>
  <si>
    <t>#347</t>
  </si>
  <si>
    <t>DNA Lover</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</si>
  <si>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t>
  </si>
  <si>
    <t>Comedy, Romance, Melodrama</t>
  </si>
  <si>
    <t>Medical Research, Medical, Columnist Female Lead, Gynecologist Male Lead, Hospital Setting, Obstetrician Male Lead, Researcher Female Lead, Single Mother/Father Supporting Character, Nurse Supporting Character, Doctor Male Lead (</t>
  </si>
  <si>
    <t>Choi Si Won, Jung In Sun, Jung Eugene, Lee Tae Hwan</t>
  </si>
  <si>
    <t>#348</t>
  </si>
  <si>
    <t>Our Love Triangle</t>
  </si>
  <si>
    <t>Hae Rin, a university student, finds herself torn between two men: Woo Jin, a charming junior she partnered with at an event, and Eun Hwan, her former crush who returns with memory loss after a two-year absence. As Eun Hwan hopes to rekindle their past connection, Hae Rin struggles with conflicting emotions. Will this love triangle lead to happiness or heartbreak?</t>
  </si>
  <si>
    <t>Romance, Youth</t>
  </si>
  <si>
    <t xml:space="preserve">Tsundere Male Lead, Ex Comes Back, Passionate Female Lead, Friends Reunited, Student Supporting Character, Student Female Lead, Student Male Lead, School Setting, School Friends' Relationship, Roommates' Relationship </t>
  </si>
  <si>
    <t>Gong Chan, Ahn Se Min, Kim Si Gyeong</t>
  </si>
  <si>
    <t>#349</t>
  </si>
  <si>
    <t>The Brave Yong Su Jeong</t>
  </si>
  <si>
    <t>6.8</t>
  </si>
  <si>
    <t>Yong Su Jeong has a refreshing charm, which helps her popularity as a home shopping host. She has many female fans from various age ranges due to her honest and straightforward personality. Things are different in her personal life. When she likes a man, she can't express her feelings or even make eye contact with him. Her romantic life is difficult because of this. She has a crush on Joo U Jin, who is the successor of the Masung Group. Yeo Ui Ju is a hard-working man despite his poor family background. He lives with his intellectually disabled mother. His priority is to make his mother happy. One day, he suddenly learns that he is the second grandson of the Masung Group and is stunned by the news. He gets involved with Yong Su Jeong. Meanwhile, Choi Hye Ra is selfish and greedy. If she wants something, she will try to get it no matter what and if anyone comes in her way, she will try to mercilessly punish them.</t>
  </si>
  <si>
    <t xml:space="preserve">Guest House Setting, Adoptive Father-Adoptive Daughter Relationship, Death Of A Mother, Chairman/Chairwoman Supporting Character, Heir Male Lead, Greedy Female Lead, Half-brothers' Relationship, Brothers' Relationship, Honest Female Lead, Mother-in-law - Daughter-in-law Relationship </t>
  </si>
  <si>
    <t>Uhm Hyun Kyung, Seo Joon Young, Im Ju Eun, Kwon Hwa Woon</t>
  </si>
  <si>
    <t>#350</t>
  </si>
  <si>
    <t>Goodbye Earth</t>
  </si>
  <si>
    <t>6.4</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</si>
  <si>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</si>
  <si>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</si>
  <si>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</si>
  <si>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t>
  </si>
  <si>
    <t>Statistik Dasar</t>
  </si>
  <si>
    <t>Metriks</t>
  </si>
  <si>
    <t>Number of Episode</t>
  </si>
  <si>
    <t>Penjelasan</t>
  </si>
  <si>
    <t>Mean</t>
  </si>
  <si>
    <t>Median</t>
  </si>
  <si>
    <t>Mode</t>
  </si>
  <si>
    <t>Menghitung nilai tengah dari rating dan jumlah episode</t>
  </si>
  <si>
    <t>Menghitung rata-rata rating dan jumlah episode</t>
  </si>
  <si>
    <t>Menghitung rating dan jumlah episode yang sering muncul</t>
  </si>
  <si>
    <t>Max</t>
  </si>
  <si>
    <t>Min</t>
  </si>
  <si>
    <t>Standar Deviation</t>
  </si>
  <si>
    <t>Range</t>
  </si>
  <si>
    <t>Variance</t>
  </si>
  <si>
    <t>Interquartile</t>
  </si>
  <si>
    <t>Selisih nilai tertinggi dan terendah</t>
  </si>
  <si>
    <t>Seberapa seragam datanya (makin kecil nilainya makin seragam datanya)</t>
  </si>
  <si>
    <t>Besarnya simpangan titik data dari mean nya</t>
  </si>
  <si>
    <t>Batas bawah 25% data</t>
  </si>
  <si>
    <t>Batas atas 75% data</t>
  </si>
  <si>
    <t>Quartile 1 (Q1)</t>
  </si>
  <si>
    <t>Quartile 3 (Q3)</t>
  </si>
  <si>
    <t>Jarak antara Q3 dan Q1 (untuk mengetahui data tengahnya padat atau tidak)</t>
  </si>
  <si>
    <t>ASYMMETRIC</t>
  </si>
  <si>
    <t>DISPERSION</t>
  </si>
  <si>
    <t>CENTRAL TENDENCY</t>
  </si>
  <si>
    <t xml:space="preserve">Skewness Value </t>
  </si>
  <si>
    <t>Kemiringan kurva</t>
  </si>
  <si>
    <t>Bentuk Distribusi</t>
  </si>
  <si>
    <t>RELATIONSHIP</t>
  </si>
  <si>
    <t>Correlation</t>
  </si>
  <si>
    <t>Covariance</t>
  </si>
  <si>
    <t>Hubungan positif</t>
  </si>
  <si>
    <t xml:space="preserve"> </t>
  </si>
  <si>
    <t>Hubungan positif tapi lemah. Episode panjang bukan jaminan rating bagus</t>
  </si>
  <si>
    <t>Mayoritas drama memiliki rating tinggi, kebanyakan drama episodenya sedikit tapi ada segelintir yang memiliki banyak episode.</t>
  </si>
  <si>
    <t>Rating tertinggi dan jumlah episode terbanyak</t>
  </si>
  <si>
    <t>Rating terendah dan jumlah episode tersedikit</t>
  </si>
  <si>
    <t>Duplicate Data</t>
  </si>
  <si>
    <t>: Tidak ditemukan data duplikat</t>
  </si>
  <si>
    <t>Assessing Data</t>
  </si>
  <si>
    <t>Missing Value</t>
  </si>
  <si>
    <t>Unknown</t>
  </si>
  <si>
    <t>: Mengisi 5 data kosong pada kolom genre, tags, dan actors dengan "Unknown"</t>
  </si>
  <si>
    <t>Invalid Value</t>
  </si>
  <si>
    <t xml:space="preserve">: Mengubah format kolom year of release, number of episode, dan rating dengan format number. </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</si>
  <si>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t>
  </si>
  <si>
    <t xml:space="preserve">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Sung's behavior and begins to wonder if he could possibly be hiding something from her. </t>
  </si>
  <si>
    <t>Jang Bong Hwan is a South Korean chef who has risen up the ranks to cook for the country's top politicians in the Blue House's presidential residences. After a serious accident, he finds himself in the body of the young queen, Kim So Yong, when whisked away to an era deep in Korea's past.</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</si>
  <si>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t>
  </si>
  <si>
    <t>Mr. Sunshine centers on a young boy born into a house servant's family and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í•œêµ­ì–´ ä¸­æ–‡(ç®€ä½“) Ð ÑƒÑÑÐºÐ¸Ð¹</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</si>
  <si>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</si>
  <si>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Jin's father's business to go bankrupt. This leads to a life change for Baek Yi Jin, from living the life of a wealthy person to a poor person. While studying, he works part-time jobs like delivering newspapers. Later, he becomes a sports reporter for a broadcasting network.</t>
  </si>
  <si>
    <t>In Korea during the second half of the 1700s, Yi San is an aloof and perfection-loving young prince. His father's killing haunts him, although it leaves him in the position to take the throne once his grandfather â€“ the cruel and ruthless current king responsible for Yi San's father's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San's love for Sung Deok Im is true, and she starts to understand that forming a union with him could ultimately benefit his troubled realm.</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</si>
  <si>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</si>
  <si>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</si>
  <si>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Young's incessant nonsense, Da Jung is at her wits' end. When Dae Young announces that he's been fired, Da Jung gives up completely. Convinced life would be better without her husband in it, Da Jung wastes no time in filing for divorce.</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</si>
  <si>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t>
  </si>
  <si>
    <t>Back in the 1990s, the citizens of Seoul were gripped with a paralyzing fear after a series of brutal attacks and murders occurred. A mysterious figure dubbed â€˜Red Cap'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</si>
  <si>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Park Jung Woo is a prosecutor at Seoul Central District Prosecutors'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</si>
  <si>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Ð ÑƒÑÑÐºÐ¸Ð¹ TÃ¼rkÃ§e PortuguÃªs</t>
  </si>
  <si>
    <t>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t>
  </si>
  <si>
    <t>When reserved rookie boxer Kim Geon U squares off against loquacious southpaw Hong U Jin, Geon U narrowly prevails â€” but the two former marines become fast friends. As their friendship grows, so do the financial woes that plague Geon U's mother. To save her quaint cafÃ© from going under, she signs off on a hefty loan. But when it turns out she's been targeted by Smile Capital â€” a ruthless loan shark business â€” Geon U and U Jin do everything in their power to make it right. Fate intervenes as the pair end up working for a generous money lender whose foster daughter is dead set on taking down the loan sharks.</t>
  </si>
  <si>
    <t xml:space="preserve">Nestled deep in the heart of Seoul's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</si>
  <si>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</si>
  <si>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family's financial situation, she enters an art high school with her natural talent.</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</si>
  <si>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</si>
  <si>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t>
  </si>
  <si>
    <t xml:space="preserve">"Once Again" is the story of the eventful Song family who can't get a day of peace and their neighbors in Yongju Market. </t>
  </si>
  <si>
    <t>Soo Yeol, the competent â€˜bad boy' on the police squad, regains his humanity after meeting K, the righteous but â€˜crazy' guy. Despite having a mere high school diploma, Soo Yeol is an accomplished member of the Anti Corruption Unit. He's ambitious, so he chooses pet cases of his superiors and produces their desired outcomes. Often that means turning a blind eye to injustice, especially if it stands in the way of those preferred results. With promotion time looming and without anyone's backing, Soo Yeol fears exclusion once again. Congressman Do Yoo Gon had given him some hope of advancement but dashed when the righteous but crazy K entered his life. What can go wrong when the bad boy and the crazy guy join forces?</t>
  </si>
  <si>
    <t>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t>
  </si>
  <si>
    <t>Detective Young Jin, from the regional investigation unit, has only one thing on her mind: to catch the 'Stigmata' serial killer that murdered her friend 19 years ago. She carries guilt and trauma over the event. She has no friends and lives alone. Her downstairs neighbor's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Ho's homeroom teacher, Sun Woo, the both begin to uncover that Eun Ho's injuries were no accident. Edit Translation  English Ð ÑƒÑÑÐºÐ¸Ð¹ Italiano EspaÃ±ol</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</si>
  <si>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t>
  </si>
  <si>
    <t>Living a precarious life as a part-timer at a convenience store, Ae Ri strives to support her mother who is on a waiting list for a heart transplant. Unfortunately, her mother's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wife's suicide. On the verge of breaking down, he is given an opportunity to restore everything that was lost under one condition, help from a strange woman. To bring his daughter and wife back to life, he makes a phone call as the clock strikes 10:33.</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</si>
  <si>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</si>
  <si>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Cha Dal Gun becomes an awakened tiger in the face of his nephew's death in a mysterious plane crash. As an orphan himself, he had raised his nephew singlehandedly in place of his brother who had passed on. Triggered by the large-scale cover-up of the incident, he sets off on a journey to discover the truth. </t>
  </si>
  <si>
    <t>Popular detective Moo Jin Hyuk who is filled with guilt for his wife's death, works with professional voice profiler Kang Kwon Joo, whose father is killed, to solve a different crime, chasing for the serial killer responsible for the deaths of their family members.</t>
  </si>
  <si>
    <t>Smart Female Lead, Rich Female Lead, Art Gallery, Rich Male Lead, Multilingual, Bankruptcy, Art, Eccentric Male Lead, Healthy Mains' Relationship, Male Chases Female First</t>
  </si>
  <si>
    <t>In 1987, a bloody man jumps into a women's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</si>
  <si>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</si>
  <si>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</si>
  <si>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</si>
  <si>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Ree's life around? Or is it too late to change his destiny?</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</si>
  <si>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t>
  </si>
  <si>
    <t>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 and lives only to exterminate the parasitic water after losing her husband to the parasitic water.</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</si>
  <si>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</si>
  <si>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As one of the nation's most beloved stars, Gong Tae Sung is used to living his life in the spotlight. With the eyes of the world constantly on him, Tae Sung does his best to keep a smile on his face and his temper in check. Seen by the people as a kind and polite young man, the only people who don't buy into his whole good guy persona are those working for his management company. As the head of that company's PR team, Oh Han Byeol knows exactly what Tae Sung is really like. Well aware of his strong desire to win and his hot temper, Han Byeol has had to employ her excellent speech and crisis management skills on a number of occasions, in order to keep Tae Sung's reputation as spotless as it seems. Constantly bickering, there isn't anyone in the world better suited to the role of natural enemies than Han Byeol and Tae Sung. Forever at odds with each other, Tae Sung and Han Byeol seem destined to hate each other forever. But could the time they're forced to spend together change those feelings or will their mutual loathing last for all eternity?</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</si>
  <si>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</si>
  <si>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author's plans for her character by utilizing the flashes of storyboard she alone is able to see.</t>
  </si>
  <si>
    <t>Doctor Prisoner centers around an ace doctor in a university hospital's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he'll get rid of the existing prison chief doctor and claim the spot for himself.</t>
  </si>
  <si>
    <t>A sports romance drama that depicts the passion and affection for badminton of a male and female protagonist who is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</si>
  <si>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Hee's family or her friends who step up to the plate?</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</si>
  <si>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gallery's new director, saunters into her life. A once famous painter, the former artist turned director considers himself an indifferent being, unconcerned with the lives of others. But when he uncovers Deok Mi's secret, everything changes.</t>
  </si>
  <si>
    <t>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</si>
  <si>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t>
  </si>
  <si>
    <t>After suffering a painful breakup, Yu Mi's love cells have shut down completely, but a chance meeting with the emotionally stunted game designer, Goo Woong, changes all of that. Waking up a number of each other's cells, Yu Mi and Goo Woong find themselves drawing closer, but even with the revival of their long-dormant love cells, their relationship wasn't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</si>
  <si>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How can a mermaid from the Joseon era survive in modern society? Shim Chung is a mermaid who follows her one true love, a nobleman's son named Kim Ryung from the Joseon Dynasty, to modern-day Seoul. Ryung's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Jae's heart in Cha Shi Ah, a researcher at KAIST who deals with ancient artifacts. When a dangerous killer named Ma Dae Yeong, sent by Joon Jae's stepmother who wants to make her own son the heir to Joon Jae's fortunes, can Shim Chung survive her strange new environment while also helping Joon Jae avoid the dangers that await him?</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</si>
  <si>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</si>
  <si>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Yul's eventual recovery, with his memory fully intact?</t>
  </si>
  <si>
    <t>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Min's heart â€“ and become her own daughter's stepmother. But the truth has a way of coming outâ€¦and if it does, how will her new family react?</t>
  </si>
  <si>
    <t>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t>
  </si>
  <si>
    <t>Mo Seok Hee is the sole daughter of the MC Group business empire. Financially, she wants for nothing. However, all is not well with her. She is haunted by the passing of her mother, who died in mysterious circumstances a decade and a half ago. Ever since her mother's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Hee's mother. Will Mo Seok Hee and Heo Yoon Do uncover the dark truth behind a death that took place 15 years ago? What other secrets is the MG Group hiding? And could working together lead the duo to romance?</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</si>
  <si>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t>
  </si>
  <si>
    <t>Known as an enthusiastic and impressively effective detective, Jin Kang Ho will stop at nothing to catch the criminals he's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</si>
  <si>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he's an expert at maneuvering the law to cater to their needs.</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</si>
  <si>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</si>
  <si>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</si>
  <si>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</si>
  <si>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â€“ who secretly loves Da On â€“ is jealous of their closeness, and attempts to drive a wedge between them!</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</si>
  <si>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t>
  </si>
  <si>
    <t>It's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isn't a mystery he's allowed to solve on his own. Working alongside Jung Woo, Officer Gong Hye Won refuses to let anything stand between her and what she wants. Tenacious and hot-tempered, she's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</si>
  <si>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</si>
  <si>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Park Tae Suk is a lawyer who finds out that he has Alzheimer's and puts his life on the line to fight one last case. The drama depicts his vigorous efforts trying to protect the precious value of the life and family love, while his memory starts fading away.</t>
  </si>
  <si>
    <t>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doesn't allow mistakes, is a team leader from the LAPD (Los Angeles Police Department)</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</si>
  <si>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t>
  </si>
  <si>
    <t>Older Woman/Younger Man, Teacher Male Lead, Cram School, Smart Male Lead, Workaholic Male Lead, High School, Asperger's Syndrome, Hardworking Male Lead, Mental Illness, Age Gap [Real Life]</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</si>
  <si>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</si>
  <si>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</si>
  <si>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fateâ€”none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t>
  </si>
  <si>
    <t>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Kang's growth both professionally and personally.</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</si>
  <si>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</si>
  <si>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</si>
  <si>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</si>
  <si>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</si>
  <si>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</si>
  <si>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t>
  </si>
  <si>
    <t>Office politics take center stage for marketer Park Yun Jo, whose lack of an academic background won't deter her dedication to her work, and the smart and just Ryu Jae Min, who lacks any expectations towards their company.</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</si>
  <si>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t>
  </si>
  <si>
    <t>Geu Roo is a young autistic man. He works for his father's business "Move To Heaven."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Roo's guardian. They run "Move To Heaven" together.</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</si>
  <si>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</si>
  <si>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t>
  </si>
  <si>
    <t>A "real doctor" story set in a small, humble hospital called Doldam Hospital. It is a story about people who meet Kim Sa Bu, a genius doctor, and discover "real romance."</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</si>
  <si>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t>
  </si>
  <si>
    <t>Three very different young men â€“ Dong Goo, the bad luck incarnate who dreams of becoming a film director, Joon Ki, an eccentric actor who performs to make a living, and Doo Shik, a freelancer writer who fiddles around doing nothing most of the time - open a guest house named "Waikiki" in Itaewon where many foreigners come to stay.  Although they have no clue how to run it, they're eager to earn money to pay for the production of their upcoming film.</t>
  </si>
  <si>
    <t>"Mystic Pop-Up Bar" is based on a popular webtoon of the same name and tells the story of a mysterious pojangmacha (outdoor drinking establishment) run by a prickly woman and an innocent part-timer who visit customers in their dreams to help resolve their problems.</t>
  </si>
  <si>
    <t>"The culprit who is posing as a royal official is not stealing wealth. He is stealing the hearts and minds of your people, Your Majesty."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</si>
  <si>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"Doctor John" is a medical drama about doctors specializing in pain management. In a refreshing take on the genre, "Doctor John" will portray the doctors' search for the cause of their patients' mysterious pain as a thrilling chase, almost like a detective hunting down the perpetrator behind an unsolved crime. </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</si>
  <si>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"crazy" person who can't hold in his anger about anything. Lee Min Kyung is a woman who is caught up in her own delusions and compulsions. She had lived an ordinary life as a pretty woman with a respectable job until "that incident" that caused everything in her life to break down. As a result, she was unable to trust anyone and is caught in a prison of her own making. Her delusions also have the unfortunate side effect of making everyone else around her angry.</t>
  </si>
  <si>
    <t>"Extracurricular"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Soo's crime. Park Joo Hyun will portray Ji Soo's dangerous partner in crime Gyu Ri, while Nam Yoon Soo will appear as Min Hee's boyfriend and the school's most popular guy Ki Tae.</t>
  </si>
  <si>
    <t>Listen closely, because skilled voice profiler Kang Kwon Joo is back. Working tirelessly at the Emergency Call Center, she uses her first-rate hearing to save lives and catch culprits. When it comes to responding to emergencies within the vital "golden time," Kang Kwon Joo is simply the best. Do Kang Woo is a mysterious man who's able to tap into the mind of a criminal. He also hides a secret pain that he doesn't share with anyone. When he meets Kang Kwon Joo, they reluctantly form a team. She can hear crime</t>
  </si>
  <si>
    <t>Cha Cha Woong is a popular if somewhat sardonic stage and TV magician with a taste for the spectacular. His tricks dazzle audiences, but little do most people know â€“ he has a gang of secret helpers! However, these are no ordinary magician's assistants: They are actually ghosts. But Cha Cha Woong is not afraid of beings from the spirit realm â€“ in fact, he treats them as his employees...and they, in turn, believe him to be their "boss." One day, his path crosses with that of Go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</si>
  <si>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t>
  </si>
  <si>
    <t>Five girls in their 20s share a house called Belle Ã‰poque. A year has passed since "Hello, My Twenties 1." Each of them got a job, went back to school, is still trying to get a boyfriend, or is getting over her first breakup. One day, a new student arrives at the house with a letter she stumbled upon. The letter is filled with curses against one of the girls at Belle Ã‰poque.</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</si>
  <si>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t>
  </si>
  <si>
    <t>In the second season of "Vampire Prosecutor,"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</si>
  <si>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"death."</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</si>
  <si>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</si>
  <si>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t>
  </si>
  <si>
    <t>"Mine" is about strong and ambitious women who overcome the world's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</si>
  <si>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"Payback" follows the revenge story of a group of peopleâ€”including Eun Yong, a money traderâ€”who refuses to remain silent in the face of unjust authorities and fight against a cartel conspiring with the law.</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</si>
  <si>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t>
  </si>
  <si>
    <t>Do Jae Yi is a human rights lawyer who has built up a large following on social media. She has a reputation for defending the vulnerable and victims of sexual crime. Ten years ago, she was the victim of a terrible, haunting crime. Now, she has become a veritable "queen of masks."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</si>
  <si>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t>
  </si>
  <si>
    <t>Oh Ha Ra is a hotshot divorce lawyer whose nickname in legal circles is "the "goddess of litigation."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another's skin! Will Cupid rescue this group of lawyers â€“ or will chaos break loose in the courtroom?</t>
  </si>
  <si>
    <t>: Melakukan Cleaning dengan Find &amp; Replace mengubah â€™ menjadi ' (apostrof) pada kolom description</t>
  </si>
  <si>
    <t>Inconsistent Value</t>
  </si>
  <si>
    <t>Inacurrate Value</t>
  </si>
  <si>
    <t>: Melakukan validasi data (Random Sampling) pada 5 judul populer (Goblin, Reply 1988, dll). Data ditemukan sudah akurat sesuai fakta.</t>
  </si>
  <si>
    <t>Outlier</t>
  </si>
  <si>
    <t>: Tidak ditemukan outlier</t>
  </si>
  <si>
    <t>Data Cleaning</t>
  </si>
  <si>
    <t>Dropping</t>
  </si>
  <si>
    <t>Imputation</t>
  </si>
  <si>
    <t>Interpolation</t>
  </si>
  <si>
    <t>Standardization</t>
  </si>
  <si>
    <t>: Ditemukan 5 data kosong pada kolom genre, tags, dan actors.</t>
  </si>
  <si>
    <t>: Ditemukan simbol â€™ pada kolom description</t>
  </si>
  <si>
    <t>Type Conversion</t>
  </si>
  <si>
    <t xml:space="preserve">: Ditemukan format kolom year of release, number of episode, dan rating dengan format general. </t>
  </si>
  <si>
    <t>: Tidak ditemukan data duplikat dan outlier</t>
  </si>
  <si>
    <t>: Tidak diterapkan. Metode ini dievaluasi tidak cocok untuk dataset kategori (nominal) seperti Judul Drama, karena tidak memiliki kontinuitas antar baris (bukan data time-series)</t>
  </si>
  <si>
    <t>Mini Task 2 — Statistik Dasar &amp; Data 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</si>
</sst>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0" xfId="0" applyBorder="1" applyAlignment="1">
      <alignment horizontal="center"/>
    </xf>
    <xf numFmtId="0" fontId="0" fillId="0" borderId="10" xfId="0" applyBorder="1"/>
    <xf numFmtId="2" fontId="0" fillId="0" borderId="10" xfId="0" applyNumberFormat="1" applyBorder="1"/>
    <xf numFmtId="1" fontId="0" fillId="0" borderId="10" xfId="0" applyNumberFormat="1" applyBorder="1"/>
    <xf numFmtId="164" fontId="0" fillId="0" borderId="10" xfId="0" applyNumberFormat="1" applyBorder="1"/>
    <xf numFmtId="0" fontId="0" fillId="0" borderId="10" xfId="0" applyBorder="1" applyAlignment="1">
      <alignment horizontal="left" vertical="center"/>
    </xf>
    <xf numFmtId="0" fontId="0" fillId="0" borderId="10" xfId="0" applyBorder="1" applyAlignment="1">
      <alignment horizontal="left" vertical="center" wrapText="1"/>
    </xf>
    <xf numFmtId="0" fontId="0" fillId="0" borderId="10" xfId="0" applyBorder="1" applyAlignment="1">
      <alignment wrapText="1"/>
    </xf>
    <xf numFmtId="1" fontId="0" fillId="0" borderId="0" xfId="0" applyNumberFormat="1"/>
    <xf numFmtId="1" fontId="0" fillId="0" borderId="0" xfId="0" applyNumberFormat="1" applyAlignment="1">
      <alignment horizontal="right"/>
    </xf>
    <xf numFmtId="0" fontId="0" fillId="0" borderId="10" xfId="0" applyBorder="1" applyAlignment="1">
      <alignment vertical="center"/>
    </xf>
    <xf numFmtId="1" fontId="0" fillId="0" borderId="10" xfId="0" applyNumberFormat="1" applyBorder="1" applyAlignment="1">
      <alignment horizontal="right"/>
    </xf>
    <xf numFmtId="0" fontId="0" fillId="0" borderId="1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0" fillId="33" borderId="10" xfId="0" applyFill="1" applyBorder="1" applyAlignment="1">
      <alignment horizontal="center"/>
    </xf>
    <xf numFmtId="0" fontId="18" fillId="0" borderId="0" xfId="0" applyFont="1" applyAlignment="1">
      <alignment horizontal="center"/>
    </xf>
    <xf numFmtId="0" fontId="0" fillId="0" borderId="10" xfId="0" applyBorder="1" applyAlignment="1">
      <alignment horizontal="left" wrapText="1"/>
    </xf>
    <xf numFmtId="2" fontId="0" fillId="0" borderId="10" xfId="0" applyNumberFormat="1" applyBorder="1" applyAlignment="1">
      <alignment horizontal="center"/>
    </xf>
    <xf numFmtId="0" fontId="16"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9EE8-8A35-40AC-A264-941FE9B1DBD0}">
  <dimension ref="A1:I351"/>
  <sheetViews>
    <sheetView zoomScale="55" zoomScaleNormal="55" workbookViewId="0">
      <selection activeCell="F23" sqref="F23"/>
    </sheetView>
  </sheetViews>
  <sheetFormatPr defaultRowHeight="14.5" x14ac:dyDescent="0.35"/>
  <cols>
    <col min="2" max="2" width="44.26953125" bestFit="1" customWidth="1"/>
    <col min="3" max="3" width="13.7265625" bestFit="1" customWidth="1"/>
    <col min="4" max="4" width="18.453125" bestFit="1" customWidth="1"/>
    <col min="5" max="5" width="8.7265625" customWidth="1"/>
    <col min="6" max="6" width="255.6328125" bestFit="1" customWidth="1"/>
    <col min="7" max="7" width="60.54296875" bestFit="1" customWidth="1"/>
    <col min="8" max="9" width="255.63281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v>2021</v>
      </c>
      <c r="D2">
        <v>10</v>
      </c>
      <c r="E2" t="s">
        <v>11</v>
      </c>
      <c r="F2" t="s">
        <v>12</v>
      </c>
      <c r="G2" t="s">
        <v>13</v>
      </c>
      <c r="H2" t="s">
        <v>14</v>
      </c>
      <c r="I2" t="s">
        <v>15</v>
      </c>
    </row>
    <row r="3" spans="1:9" x14ac:dyDescent="0.35">
      <c r="A3" t="s">
        <v>16</v>
      </c>
      <c r="B3" t="s">
        <v>17</v>
      </c>
      <c r="C3">
        <v>2023</v>
      </c>
      <c r="D3">
        <v>16</v>
      </c>
      <c r="E3" t="s">
        <v>11</v>
      </c>
      <c r="F3" t="s">
        <v>18</v>
      </c>
      <c r="G3" t="s">
        <v>19</v>
      </c>
      <c r="H3" t="s">
        <v>20</v>
      </c>
      <c r="I3" t="s">
        <v>21</v>
      </c>
    </row>
    <row r="4" spans="1:9" x14ac:dyDescent="0.35">
      <c r="A4" t="s">
        <v>22</v>
      </c>
      <c r="B4" t="s">
        <v>23</v>
      </c>
      <c r="C4">
        <v>2023</v>
      </c>
      <c r="D4">
        <v>20</v>
      </c>
      <c r="E4" t="s">
        <v>24</v>
      </c>
      <c r="F4" t="s">
        <v>25</v>
      </c>
      <c r="G4" t="s">
        <v>26</v>
      </c>
      <c r="H4" t="s">
        <v>27</v>
      </c>
      <c r="I4" t="s">
        <v>28</v>
      </c>
    </row>
    <row r="5" spans="1:9" x14ac:dyDescent="0.35">
      <c r="A5" t="s">
        <v>29</v>
      </c>
      <c r="B5" t="s">
        <v>30</v>
      </c>
      <c r="C5">
        <v>2025</v>
      </c>
      <c r="D5">
        <v>8</v>
      </c>
      <c r="E5" t="s">
        <v>24</v>
      </c>
      <c r="F5" t="s">
        <v>31</v>
      </c>
      <c r="G5" t="s">
        <v>32</v>
      </c>
      <c r="H5" t="s">
        <v>33</v>
      </c>
      <c r="I5" t="s">
        <v>34</v>
      </c>
    </row>
    <row r="6" spans="1:9" x14ac:dyDescent="0.35">
      <c r="A6" t="s">
        <v>35</v>
      </c>
      <c r="B6" t="s">
        <v>36</v>
      </c>
      <c r="C6">
        <v>2020</v>
      </c>
      <c r="D6">
        <v>16</v>
      </c>
      <c r="E6" t="s">
        <v>24</v>
      </c>
      <c r="F6" t="s">
        <v>37</v>
      </c>
      <c r="G6" t="s">
        <v>38</v>
      </c>
      <c r="H6" t="s">
        <v>39</v>
      </c>
      <c r="I6" t="s">
        <v>40</v>
      </c>
    </row>
    <row r="7" spans="1:9" x14ac:dyDescent="0.35">
      <c r="A7" t="s">
        <v>41</v>
      </c>
      <c r="B7" t="s">
        <v>42</v>
      </c>
      <c r="C7">
        <v>2020</v>
      </c>
      <c r="D7">
        <v>12</v>
      </c>
      <c r="E7" t="s">
        <v>24</v>
      </c>
      <c r="F7" t="s">
        <v>43</v>
      </c>
      <c r="G7" t="s">
        <v>44</v>
      </c>
      <c r="H7" t="s">
        <v>45</v>
      </c>
      <c r="I7" t="s">
        <v>46</v>
      </c>
    </row>
    <row r="8" spans="1:9" x14ac:dyDescent="0.35">
      <c r="A8" t="s">
        <v>47</v>
      </c>
      <c r="B8" t="s">
        <v>48</v>
      </c>
      <c r="C8">
        <v>2021</v>
      </c>
      <c r="D8">
        <v>12</v>
      </c>
      <c r="E8" t="s">
        <v>24</v>
      </c>
      <c r="F8" t="s">
        <v>49</v>
      </c>
      <c r="G8" t="s">
        <v>44</v>
      </c>
      <c r="H8" t="s">
        <v>50</v>
      </c>
      <c r="I8" t="s">
        <v>46</v>
      </c>
    </row>
    <row r="9" spans="1:9" x14ac:dyDescent="0.35">
      <c r="A9" t="s">
        <v>51</v>
      </c>
      <c r="B9" t="s">
        <v>52</v>
      </c>
      <c r="C9">
        <v>2018</v>
      </c>
      <c r="D9">
        <v>16</v>
      </c>
      <c r="E9" t="s">
        <v>24</v>
      </c>
      <c r="F9" t="s">
        <v>53</v>
      </c>
      <c r="G9" t="s">
        <v>54</v>
      </c>
      <c r="H9" t="s">
        <v>55</v>
      </c>
      <c r="I9" t="s">
        <v>56</v>
      </c>
    </row>
    <row r="10" spans="1:9" x14ac:dyDescent="0.35">
      <c r="A10" t="s">
        <v>57</v>
      </c>
      <c r="B10" t="s">
        <v>58</v>
      </c>
      <c r="C10">
        <v>2015</v>
      </c>
      <c r="D10">
        <v>20</v>
      </c>
      <c r="E10" t="s">
        <v>24</v>
      </c>
      <c r="F10" t="s">
        <v>59</v>
      </c>
      <c r="G10" t="s">
        <v>60</v>
      </c>
      <c r="H10" t="s">
        <v>61</v>
      </c>
      <c r="I10" t="s">
        <v>62</v>
      </c>
    </row>
    <row r="11" spans="1:9" x14ac:dyDescent="0.35">
      <c r="A11" t="s">
        <v>63</v>
      </c>
      <c r="B11" t="s">
        <v>64</v>
      </c>
      <c r="C11">
        <v>2022</v>
      </c>
      <c r="D11">
        <v>8</v>
      </c>
      <c r="E11" t="s">
        <v>24</v>
      </c>
      <c r="F11" t="s">
        <v>65</v>
      </c>
      <c r="G11" t="s">
        <v>66</v>
      </c>
      <c r="H11" t="s">
        <v>67</v>
      </c>
      <c r="I11" t="s">
        <v>68</v>
      </c>
    </row>
    <row r="12" spans="1:9" x14ac:dyDescent="0.35">
      <c r="A12" t="s">
        <v>69</v>
      </c>
      <c r="B12" t="s">
        <v>70</v>
      </c>
      <c r="C12">
        <v>2017</v>
      </c>
      <c r="D12">
        <v>16</v>
      </c>
      <c r="E12" t="s">
        <v>24</v>
      </c>
      <c r="F12" t="s">
        <v>71</v>
      </c>
      <c r="G12" t="s">
        <v>72</v>
      </c>
      <c r="H12" t="s">
        <v>73</v>
      </c>
      <c r="I12" t="s">
        <v>74</v>
      </c>
    </row>
    <row r="13" spans="1:9" x14ac:dyDescent="0.35">
      <c r="A13" t="s">
        <v>75</v>
      </c>
      <c r="B13" t="s">
        <v>76</v>
      </c>
      <c r="C13">
        <v>2024</v>
      </c>
      <c r="D13">
        <v>16</v>
      </c>
      <c r="E13">
        <v>9</v>
      </c>
      <c r="F13" t="s">
        <v>77</v>
      </c>
      <c r="G13" t="s">
        <v>78</v>
      </c>
      <c r="H13" t="s">
        <v>79</v>
      </c>
      <c r="I13" t="s">
        <v>80</v>
      </c>
    </row>
    <row r="14" spans="1:9" x14ac:dyDescent="0.35">
      <c r="A14" t="s">
        <v>81</v>
      </c>
      <c r="B14" t="s">
        <v>82</v>
      </c>
      <c r="C14">
        <v>2022</v>
      </c>
      <c r="D14">
        <v>20</v>
      </c>
      <c r="E14">
        <v>9</v>
      </c>
      <c r="F14" t="s">
        <v>83</v>
      </c>
      <c r="G14" t="s">
        <v>84</v>
      </c>
      <c r="H14" t="s">
        <v>85</v>
      </c>
      <c r="I14" t="s">
        <v>86</v>
      </c>
    </row>
    <row r="15" spans="1:9" x14ac:dyDescent="0.35">
      <c r="A15" t="s">
        <v>87</v>
      </c>
      <c r="B15" t="s">
        <v>88</v>
      </c>
      <c r="C15">
        <v>2025</v>
      </c>
      <c r="D15">
        <v>10</v>
      </c>
      <c r="E15">
        <v>9</v>
      </c>
      <c r="F15" t="s">
        <v>89</v>
      </c>
      <c r="G15" t="s">
        <v>90</v>
      </c>
      <c r="H15" t="s">
        <v>91</v>
      </c>
      <c r="I15" t="s">
        <v>92</v>
      </c>
    </row>
    <row r="16" spans="1:9" x14ac:dyDescent="0.35">
      <c r="A16" t="s">
        <v>93</v>
      </c>
      <c r="B16" t="s">
        <v>94</v>
      </c>
      <c r="C16">
        <v>2022</v>
      </c>
      <c r="D16">
        <v>16</v>
      </c>
      <c r="E16">
        <v>9</v>
      </c>
      <c r="F16" t="s">
        <v>95</v>
      </c>
      <c r="G16" t="s">
        <v>96</v>
      </c>
      <c r="H16" t="s">
        <v>97</v>
      </c>
      <c r="I16" t="s">
        <v>98</v>
      </c>
    </row>
    <row r="17" spans="1:9" x14ac:dyDescent="0.35">
      <c r="A17" t="s">
        <v>99</v>
      </c>
      <c r="B17" t="s">
        <v>100</v>
      </c>
      <c r="C17">
        <v>2020</v>
      </c>
      <c r="D17">
        <v>20</v>
      </c>
      <c r="E17">
        <v>9</v>
      </c>
      <c r="F17" t="s">
        <v>101</v>
      </c>
      <c r="G17" t="s">
        <v>102</v>
      </c>
      <c r="H17" t="s">
        <v>103</v>
      </c>
      <c r="I17" t="s">
        <v>104</v>
      </c>
    </row>
    <row r="18" spans="1:9" x14ac:dyDescent="0.35">
      <c r="A18" t="s">
        <v>105</v>
      </c>
      <c r="B18" t="s">
        <v>106</v>
      </c>
      <c r="C18">
        <v>2018</v>
      </c>
      <c r="D18">
        <v>16</v>
      </c>
      <c r="E18">
        <v>9</v>
      </c>
      <c r="F18" t="s">
        <v>107</v>
      </c>
      <c r="G18" t="s">
        <v>108</v>
      </c>
      <c r="H18" t="s">
        <v>109</v>
      </c>
      <c r="I18" t="s">
        <v>110</v>
      </c>
    </row>
    <row r="19" spans="1:9" x14ac:dyDescent="0.35">
      <c r="A19" t="s">
        <v>111</v>
      </c>
      <c r="B19" t="s">
        <v>112</v>
      </c>
      <c r="C19">
        <v>2020</v>
      </c>
      <c r="D19">
        <v>16</v>
      </c>
      <c r="E19">
        <v>9</v>
      </c>
      <c r="F19" t="s">
        <v>113</v>
      </c>
      <c r="G19" t="s">
        <v>114</v>
      </c>
      <c r="H19" t="s">
        <v>115</v>
      </c>
      <c r="I19" t="s">
        <v>116</v>
      </c>
    </row>
    <row r="20" spans="1:9" x14ac:dyDescent="0.35">
      <c r="A20" t="s">
        <v>117</v>
      </c>
      <c r="B20" t="s">
        <v>118</v>
      </c>
      <c r="C20">
        <v>2019</v>
      </c>
      <c r="D20">
        <v>16</v>
      </c>
      <c r="E20">
        <v>9</v>
      </c>
      <c r="F20" t="s">
        <v>119</v>
      </c>
      <c r="G20" t="s">
        <v>120</v>
      </c>
      <c r="H20" t="s">
        <v>121</v>
      </c>
      <c r="I20" t="s">
        <v>122</v>
      </c>
    </row>
    <row r="21" spans="1:9" x14ac:dyDescent="0.35">
      <c r="A21" t="s">
        <v>123</v>
      </c>
      <c r="B21" t="s">
        <v>124</v>
      </c>
      <c r="C21">
        <v>2021</v>
      </c>
      <c r="D21">
        <v>20</v>
      </c>
      <c r="E21">
        <v>9</v>
      </c>
      <c r="F21" t="s">
        <v>125</v>
      </c>
      <c r="G21" t="s">
        <v>126</v>
      </c>
      <c r="H21" t="s">
        <v>127</v>
      </c>
      <c r="I21" t="s">
        <v>128</v>
      </c>
    </row>
    <row r="22" spans="1:9" x14ac:dyDescent="0.35">
      <c r="A22" t="s">
        <v>129</v>
      </c>
      <c r="B22" t="s">
        <v>130</v>
      </c>
      <c r="C22">
        <v>2021</v>
      </c>
      <c r="D22">
        <v>12</v>
      </c>
      <c r="E22">
        <v>9</v>
      </c>
      <c r="F22" t="s">
        <v>131</v>
      </c>
      <c r="G22" t="s">
        <v>132</v>
      </c>
      <c r="H22" t="s">
        <v>133</v>
      </c>
      <c r="I22" t="s">
        <v>134</v>
      </c>
    </row>
    <row r="23" spans="1:9" x14ac:dyDescent="0.35">
      <c r="A23" t="s">
        <v>135</v>
      </c>
      <c r="B23" t="s">
        <v>136</v>
      </c>
      <c r="C23">
        <v>2016</v>
      </c>
      <c r="D23">
        <v>16</v>
      </c>
      <c r="E23">
        <v>9</v>
      </c>
      <c r="F23" t="s">
        <v>137</v>
      </c>
      <c r="G23" t="s">
        <v>138</v>
      </c>
      <c r="H23" t="s">
        <v>139</v>
      </c>
      <c r="I23" t="s">
        <v>140</v>
      </c>
    </row>
    <row r="24" spans="1:9" x14ac:dyDescent="0.35">
      <c r="A24" t="s">
        <v>141</v>
      </c>
      <c r="B24" t="s">
        <v>142</v>
      </c>
      <c r="C24">
        <v>2018</v>
      </c>
      <c r="D24">
        <v>24</v>
      </c>
      <c r="E24" t="s">
        <v>143</v>
      </c>
      <c r="F24" t="s">
        <v>144</v>
      </c>
      <c r="G24" t="s">
        <v>145</v>
      </c>
      <c r="H24" t="s">
        <v>146</v>
      </c>
      <c r="I24" t="s">
        <v>147</v>
      </c>
    </row>
    <row r="25" spans="1:9" x14ac:dyDescent="0.35">
      <c r="A25" t="s">
        <v>148</v>
      </c>
      <c r="B25" t="s">
        <v>149</v>
      </c>
      <c r="C25">
        <v>2021</v>
      </c>
      <c r="D25">
        <v>12</v>
      </c>
      <c r="E25" t="s">
        <v>143</v>
      </c>
      <c r="F25" t="s">
        <v>150</v>
      </c>
      <c r="G25" t="s">
        <v>151</v>
      </c>
      <c r="H25" t="s">
        <v>152</v>
      </c>
      <c r="I25" t="s">
        <v>153</v>
      </c>
    </row>
    <row r="26" spans="1:9" x14ac:dyDescent="0.35">
      <c r="A26" t="s">
        <v>154</v>
      </c>
      <c r="B26" t="s">
        <v>155</v>
      </c>
      <c r="C26">
        <v>2020</v>
      </c>
      <c r="D26">
        <v>6</v>
      </c>
      <c r="E26" t="s">
        <v>143</v>
      </c>
      <c r="F26" t="s">
        <v>156</v>
      </c>
      <c r="G26" t="s">
        <v>157</v>
      </c>
      <c r="H26" t="s">
        <v>158</v>
      </c>
      <c r="I26" t="s">
        <v>159</v>
      </c>
    </row>
    <row r="27" spans="1:9" x14ac:dyDescent="0.35">
      <c r="A27" t="s">
        <v>160</v>
      </c>
      <c r="B27" t="s">
        <v>161</v>
      </c>
      <c r="C27">
        <v>2023</v>
      </c>
      <c r="D27">
        <v>14</v>
      </c>
      <c r="E27" t="s">
        <v>143</v>
      </c>
      <c r="F27" t="s">
        <v>162</v>
      </c>
      <c r="G27" t="s">
        <v>163</v>
      </c>
      <c r="H27" t="s">
        <v>164</v>
      </c>
      <c r="I27" t="s">
        <v>165</v>
      </c>
    </row>
    <row r="28" spans="1:9" x14ac:dyDescent="0.35">
      <c r="A28" t="s">
        <v>166</v>
      </c>
      <c r="B28" t="s">
        <v>167</v>
      </c>
      <c r="C28">
        <v>2022</v>
      </c>
      <c r="D28">
        <v>8</v>
      </c>
      <c r="E28" t="s">
        <v>143</v>
      </c>
      <c r="F28" t="s">
        <v>168</v>
      </c>
      <c r="G28" t="s">
        <v>169</v>
      </c>
      <c r="H28" t="s">
        <v>170</v>
      </c>
      <c r="I28" t="s">
        <v>171</v>
      </c>
    </row>
    <row r="29" spans="1:9" x14ac:dyDescent="0.35">
      <c r="A29" t="s">
        <v>172</v>
      </c>
      <c r="B29" t="s">
        <v>173</v>
      </c>
      <c r="C29">
        <v>2018</v>
      </c>
      <c r="D29">
        <v>20</v>
      </c>
      <c r="E29" t="s">
        <v>143</v>
      </c>
      <c r="F29" t="s">
        <v>174</v>
      </c>
      <c r="G29" t="s">
        <v>175</v>
      </c>
      <c r="H29" t="s">
        <v>176</v>
      </c>
      <c r="I29" t="s">
        <v>177</v>
      </c>
    </row>
    <row r="30" spans="1:9" x14ac:dyDescent="0.35">
      <c r="A30" t="s">
        <v>178</v>
      </c>
      <c r="B30" t="s">
        <v>179</v>
      </c>
      <c r="C30">
        <v>2022</v>
      </c>
      <c r="D30">
        <v>16</v>
      </c>
      <c r="E30" t="s">
        <v>143</v>
      </c>
      <c r="F30" t="s">
        <v>180</v>
      </c>
      <c r="G30" t="s">
        <v>181</v>
      </c>
      <c r="H30" t="s">
        <v>182</v>
      </c>
      <c r="I30" t="s">
        <v>183</v>
      </c>
    </row>
    <row r="31" spans="1:9" x14ac:dyDescent="0.35">
      <c r="A31" t="s">
        <v>184</v>
      </c>
      <c r="B31" t="s">
        <v>185</v>
      </c>
      <c r="C31">
        <v>2014</v>
      </c>
      <c r="D31">
        <v>20</v>
      </c>
      <c r="E31" t="s">
        <v>143</v>
      </c>
      <c r="F31" t="s">
        <v>186</v>
      </c>
      <c r="G31" t="s">
        <v>187</v>
      </c>
      <c r="H31" t="s">
        <v>188</v>
      </c>
      <c r="I31" t="s">
        <v>189</v>
      </c>
    </row>
    <row r="32" spans="1:9" x14ac:dyDescent="0.35">
      <c r="A32" t="s">
        <v>190</v>
      </c>
      <c r="B32" t="s">
        <v>191</v>
      </c>
      <c r="C32">
        <v>2017</v>
      </c>
      <c r="D32">
        <v>16</v>
      </c>
      <c r="E32" t="s">
        <v>143</v>
      </c>
      <c r="F32" t="s">
        <v>192</v>
      </c>
      <c r="G32" t="s">
        <v>193</v>
      </c>
      <c r="H32" t="s">
        <v>194</v>
      </c>
      <c r="I32" t="s">
        <v>195</v>
      </c>
    </row>
    <row r="33" spans="1:9" x14ac:dyDescent="0.35">
      <c r="A33" t="s">
        <v>196</v>
      </c>
      <c r="B33" t="s">
        <v>197</v>
      </c>
      <c r="C33">
        <v>2022</v>
      </c>
      <c r="D33">
        <v>16</v>
      </c>
      <c r="E33" t="s">
        <v>198</v>
      </c>
      <c r="F33" t="s">
        <v>199</v>
      </c>
      <c r="G33" t="s">
        <v>200</v>
      </c>
      <c r="H33" t="s">
        <v>201</v>
      </c>
      <c r="I33" t="s">
        <v>202</v>
      </c>
    </row>
    <row r="34" spans="1:9" x14ac:dyDescent="0.35">
      <c r="A34" t="s">
        <v>203</v>
      </c>
      <c r="B34" t="s">
        <v>204</v>
      </c>
      <c r="C34">
        <v>2023</v>
      </c>
      <c r="D34">
        <v>12</v>
      </c>
      <c r="E34" t="s">
        <v>198</v>
      </c>
      <c r="F34" t="s">
        <v>205</v>
      </c>
      <c r="G34" t="s">
        <v>206</v>
      </c>
      <c r="H34" t="s">
        <v>207</v>
      </c>
      <c r="I34" t="s">
        <v>208</v>
      </c>
    </row>
    <row r="35" spans="1:9" x14ac:dyDescent="0.35">
      <c r="A35" t="s">
        <v>209</v>
      </c>
      <c r="B35" t="s">
        <v>210</v>
      </c>
      <c r="C35">
        <v>2021</v>
      </c>
      <c r="D35">
        <v>17</v>
      </c>
      <c r="E35" t="s">
        <v>198</v>
      </c>
      <c r="F35" t="s">
        <v>211</v>
      </c>
      <c r="G35" t="s">
        <v>212</v>
      </c>
      <c r="H35" t="s">
        <v>213</v>
      </c>
      <c r="I35" t="s">
        <v>214</v>
      </c>
    </row>
    <row r="36" spans="1:9" x14ac:dyDescent="0.35">
      <c r="A36" t="s">
        <v>215</v>
      </c>
      <c r="B36" t="s">
        <v>216</v>
      </c>
      <c r="C36">
        <v>2016</v>
      </c>
      <c r="D36">
        <v>16</v>
      </c>
      <c r="E36" t="s">
        <v>198</v>
      </c>
      <c r="F36" t="s">
        <v>217</v>
      </c>
      <c r="G36" t="s">
        <v>218</v>
      </c>
      <c r="H36" t="s">
        <v>219</v>
      </c>
      <c r="I36" t="s">
        <v>220</v>
      </c>
    </row>
    <row r="37" spans="1:9" x14ac:dyDescent="0.35">
      <c r="A37" t="s">
        <v>221</v>
      </c>
      <c r="B37" t="s">
        <v>222</v>
      </c>
      <c r="C37">
        <v>2020</v>
      </c>
      <c r="D37">
        <v>16</v>
      </c>
      <c r="E37" t="s">
        <v>198</v>
      </c>
      <c r="F37" t="s">
        <v>223</v>
      </c>
      <c r="G37" t="s">
        <v>224</v>
      </c>
      <c r="H37" t="s">
        <v>225</v>
      </c>
      <c r="I37" t="s">
        <v>226</v>
      </c>
    </row>
    <row r="38" spans="1:9" x14ac:dyDescent="0.35">
      <c r="A38" t="s">
        <v>227</v>
      </c>
      <c r="B38" t="s">
        <v>228</v>
      </c>
      <c r="C38">
        <v>2021</v>
      </c>
      <c r="D38">
        <v>20</v>
      </c>
      <c r="E38" t="s">
        <v>229</v>
      </c>
      <c r="F38" t="s">
        <v>230</v>
      </c>
      <c r="G38" t="s">
        <v>138</v>
      </c>
      <c r="H38" t="s">
        <v>231</v>
      </c>
      <c r="I38" t="s">
        <v>232</v>
      </c>
    </row>
    <row r="39" spans="1:9" x14ac:dyDescent="0.35">
      <c r="A39" t="s">
        <v>233</v>
      </c>
      <c r="B39" t="s">
        <v>234</v>
      </c>
      <c r="C39">
        <v>2019</v>
      </c>
      <c r="D39">
        <v>6</v>
      </c>
      <c r="E39" t="s">
        <v>198</v>
      </c>
      <c r="F39" t="s">
        <v>235</v>
      </c>
      <c r="G39" t="s">
        <v>236</v>
      </c>
      <c r="H39" t="s">
        <v>237</v>
      </c>
      <c r="I39" t="s">
        <v>238</v>
      </c>
    </row>
    <row r="40" spans="1:9" x14ac:dyDescent="0.35">
      <c r="A40" t="s">
        <v>239</v>
      </c>
      <c r="B40" t="s">
        <v>240</v>
      </c>
      <c r="C40">
        <v>2016</v>
      </c>
      <c r="D40">
        <v>16</v>
      </c>
      <c r="E40" t="s">
        <v>198</v>
      </c>
      <c r="F40" t="s">
        <v>241</v>
      </c>
      <c r="G40" t="s">
        <v>242</v>
      </c>
      <c r="H40" t="s">
        <v>243</v>
      </c>
      <c r="I40" t="s">
        <v>244</v>
      </c>
    </row>
    <row r="41" spans="1:9" x14ac:dyDescent="0.35">
      <c r="A41" t="s">
        <v>245</v>
      </c>
      <c r="B41" t="s">
        <v>246</v>
      </c>
      <c r="C41">
        <v>2021</v>
      </c>
      <c r="D41">
        <v>6</v>
      </c>
      <c r="E41" t="s">
        <v>198</v>
      </c>
      <c r="F41" t="s">
        <v>247</v>
      </c>
      <c r="G41" t="s">
        <v>248</v>
      </c>
      <c r="H41" t="s">
        <v>249</v>
      </c>
      <c r="I41" t="s">
        <v>250</v>
      </c>
    </row>
    <row r="42" spans="1:9" x14ac:dyDescent="0.35">
      <c r="A42" t="s">
        <v>251</v>
      </c>
      <c r="B42" t="s">
        <v>252</v>
      </c>
      <c r="C42">
        <v>2021</v>
      </c>
      <c r="D42">
        <v>16</v>
      </c>
      <c r="E42" t="s">
        <v>198</v>
      </c>
      <c r="F42" t="s">
        <v>253</v>
      </c>
      <c r="G42" t="s">
        <v>254</v>
      </c>
      <c r="H42" t="s">
        <v>255</v>
      </c>
      <c r="I42" t="s">
        <v>256</v>
      </c>
    </row>
    <row r="43" spans="1:9" x14ac:dyDescent="0.35">
      <c r="A43" t="s">
        <v>257</v>
      </c>
      <c r="B43" t="s">
        <v>258</v>
      </c>
      <c r="C43">
        <v>2020</v>
      </c>
      <c r="D43">
        <v>21</v>
      </c>
      <c r="E43" t="s">
        <v>198</v>
      </c>
      <c r="F43" t="s">
        <v>259</v>
      </c>
      <c r="G43" t="s">
        <v>260</v>
      </c>
      <c r="H43" t="s">
        <v>261</v>
      </c>
      <c r="I43" t="s">
        <v>262</v>
      </c>
    </row>
    <row r="44" spans="1:9" x14ac:dyDescent="0.35">
      <c r="A44" t="s">
        <v>263</v>
      </c>
      <c r="B44" t="s">
        <v>264</v>
      </c>
      <c r="C44">
        <v>2021</v>
      </c>
      <c r="D44">
        <v>12</v>
      </c>
      <c r="E44" t="s">
        <v>198</v>
      </c>
      <c r="F44" t="s">
        <v>265</v>
      </c>
      <c r="G44" t="s">
        <v>266</v>
      </c>
      <c r="H44" t="s">
        <v>267</v>
      </c>
      <c r="I44" t="s">
        <v>268</v>
      </c>
    </row>
    <row r="45" spans="1:9" x14ac:dyDescent="0.35">
      <c r="A45" t="s">
        <v>269</v>
      </c>
      <c r="B45" t="s">
        <v>270</v>
      </c>
      <c r="C45">
        <v>2021</v>
      </c>
      <c r="D45">
        <v>16</v>
      </c>
      <c r="E45" t="s">
        <v>198</v>
      </c>
      <c r="F45" t="s">
        <v>271</v>
      </c>
      <c r="G45" t="s">
        <v>272</v>
      </c>
      <c r="H45" t="s">
        <v>273</v>
      </c>
      <c r="I45" t="s">
        <v>274</v>
      </c>
    </row>
    <row r="46" spans="1:9" x14ac:dyDescent="0.35">
      <c r="A46" t="s">
        <v>275</v>
      </c>
      <c r="B46" t="s">
        <v>276</v>
      </c>
      <c r="C46">
        <v>2018</v>
      </c>
      <c r="D46">
        <v>16</v>
      </c>
      <c r="E46" t="s">
        <v>198</v>
      </c>
      <c r="F46" t="s">
        <v>277</v>
      </c>
      <c r="G46" t="s">
        <v>278</v>
      </c>
      <c r="H46" t="s">
        <v>279</v>
      </c>
      <c r="I46" t="s">
        <v>280</v>
      </c>
    </row>
    <row r="47" spans="1:9" x14ac:dyDescent="0.35">
      <c r="A47" t="s">
        <v>281</v>
      </c>
      <c r="B47" t="s">
        <v>282</v>
      </c>
      <c r="C47">
        <v>2024</v>
      </c>
      <c r="D47">
        <v>8</v>
      </c>
      <c r="E47" t="s">
        <v>198</v>
      </c>
      <c r="F47" t="s">
        <v>283</v>
      </c>
      <c r="G47" t="s">
        <v>284</v>
      </c>
      <c r="H47" t="s">
        <v>285</v>
      </c>
      <c r="I47" t="s">
        <v>286</v>
      </c>
    </row>
    <row r="48" spans="1:9" x14ac:dyDescent="0.35">
      <c r="A48" t="s">
        <v>287</v>
      </c>
      <c r="B48" t="s">
        <v>288</v>
      </c>
      <c r="C48">
        <v>2021</v>
      </c>
      <c r="D48">
        <v>16</v>
      </c>
      <c r="E48" t="s">
        <v>198</v>
      </c>
      <c r="F48" t="s">
        <v>289</v>
      </c>
      <c r="G48" t="s">
        <v>290</v>
      </c>
      <c r="H48" t="s">
        <v>291</v>
      </c>
      <c r="I48" t="s">
        <v>292</v>
      </c>
    </row>
    <row r="49" spans="1:9" x14ac:dyDescent="0.35">
      <c r="A49" t="s">
        <v>293</v>
      </c>
      <c r="B49" t="s">
        <v>294</v>
      </c>
      <c r="C49">
        <v>2021</v>
      </c>
      <c r="D49">
        <v>16</v>
      </c>
      <c r="E49" t="s">
        <v>198</v>
      </c>
      <c r="F49" t="s">
        <v>295</v>
      </c>
      <c r="G49" t="s">
        <v>296</v>
      </c>
      <c r="H49" t="s">
        <v>297</v>
      </c>
      <c r="I49" t="s">
        <v>298</v>
      </c>
    </row>
    <row r="50" spans="1:9" x14ac:dyDescent="0.35">
      <c r="A50" t="s">
        <v>299</v>
      </c>
      <c r="B50" t="s">
        <v>300</v>
      </c>
      <c r="C50">
        <v>2021</v>
      </c>
      <c r="D50">
        <v>16</v>
      </c>
      <c r="E50" t="s">
        <v>198</v>
      </c>
      <c r="F50" t="s">
        <v>301</v>
      </c>
      <c r="G50" t="s">
        <v>302</v>
      </c>
      <c r="H50" t="s">
        <v>303</v>
      </c>
      <c r="I50" t="s">
        <v>304</v>
      </c>
    </row>
    <row r="51" spans="1:9" x14ac:dyDescent="0.35">
      <c r="A51" t="s">
        <v>305</v>
      </c>
      <c r="B51" t="s">
        <v>306</v>
      </c>
      <c r="C51">
        <v>2015</v>
      </c>
      <c r="D51">
        <v>50</v>
      </c>
      <c r="E51" t="s">
        <v>198</v>
      </c>
      <c r="F51" t="s">
        <v>307</v>
      </c>
      <c r="G51" t="s">
        <v>308</v>
      </c>
      <c r="H51" t="s">
        <v>309</v>
      </c>
      <c r="I51" t="s">
        <v>310</v>
      </c>
    </row>
    <row r="52" spans="1:9" x14ac:dyDescent="0.35">
      <c r="A52" t="s">
        <v>311</v>
      </c>
      <c r="B52" t="s">
        <v>312</v>
      </c>
      <c r="C52">
        <v>2021</v>
      </c>
      <c r="D52">
        <v>13</v>
      </c>
      <c r="E52" t="s">
        <v>198</v>
      </c>
      <c r="F52" t="s">
        <v>313</v>
      </c>
      <c r="G52" t="s">
        <v>260</v>
      </c>
      <c r="H52" t="s">
        <v>314</v>
      </c>
      <c r="I52" t="s">
        <v>315</v>
      </c>
    </row>
    <row r="53" spans="1:9" x14ac:dyDescent="0.35">
      <c r="A53" t="s">
        <v>316</v>
      </c>
      <c r="B53" t="s">
        <v>317</v>
      </c>
      <c r="C53">
        <v>2021</v>
      </c>
      <c r="D53">
        <v>16</v>
      </c>
      <c r="E53" t="s">
        <v>229</v>
      </c>
      <c r="F53" t="s">
        <v>318</v>
      </c>
      <c r="G53" t="s">
        <v>319</v>
      </c>
      <c r="H53" t="s">
        <v>320</v>
      </c>
      <c r="I53" t="s">
        <v>321</v>
      </c>
    </row>
    <row r="54" spans="1:9" x14ac:dyDescent="0.35">
      <c r="A54" t="s">
        <v>322</v>
      </c>
      <c r="B54" t="s">
        <v>323</v>
      </c>
      <c r="C54">
        <v>2018</v>
      </c>
      <c r="D54">
        <v>16</v>
      </c>
      <c r="E54" t="s">
        <v>198</v>
      </c>
      <c r="F54" t="s">
        <v>324</v>
      </c>
    </row>
    <row r="55" spans="1:9" x14ac:dyDescent="0.35">
      <c r="A55" t="s">
        <v>325</v>
      </c>
      <c r="B55" t="s">
        <v>326</v>
      </c>
      <c r="C55">
        <v>2016</v>
      </c>
      <c r="D55">
        <v>16</v>
      </c>
      <c r="E55" t="s">
        <v>229</v>
      </c>
      <c r="F55" t="s">
        <v>327</v>
      </c>
      <c r="G55" t="s">
        <v>328</v>
      </c>
      <c r="H55" t="s">
        <v>329</v>
      </c>
      <c r="I55" t="s">
        <v>330</v>
      </c>
    </row>
    <row r="56" spans="1:9" x14ac:dyDescent="0.35">
      <c r="A56" t="s">
        <v>331</v>
      </c>
      <c r="B56" t="s">
        <v>332</v>
      </c>
      <c r="C56">
        <v>2017</v>
      </c>
      <c r="D56">
        <v>32</v>
      </c>
      <c r="E56" t="s">
        <v>229</v>
      </c>
      <c r="F56" t="s">
        <v>333</v>
      </c>
      <c r="G56" t="s">
        <v>334</v>
      </c>
      <c r="H56" t="s">
        <v>335</v>
      </c>
      <c r="I56" t="s">
        <v>336</v>
      </c>
    </row>
    <row r="57" spans="1:9" x14ac:dyDescent="0.35">
      <c r="A57" t="s">
        <v>337</v>
      </c>
      <c r="B57" t="s">
        <v>338</v>
      </c>
      <c r="C57">
        <v>2017</v>
      </c>
      <c r="D57">
        <v>16</v>
      </c>
      <c r="E57" t="s">
        <v>229</v>
      </c>
      <c r="F57" t="s">
        <v>339</v>
      </c>
      <c r="G57" t="s">
        <v>340</v>
      </c>
      <c r="H57" t="s">
        <v>341</v>
      </c>
      <c r="I57" t="s">
        <v>342</v>
      </c>
    </row>
    <row r="58" spans="1:9" x14ac:dyDescent="0.35">
      <c r="A58" t="s">
        <v>343</v>
      </c>
      <c r="B58" t="s">
        <v>344</v>
      </c>
      <c r="C58">
        <v>2020</v>
      </c>
      <c r="D58">
        <v>16</v>
      </c>
      <c r="E58" t="s">
        <v>229</v>
      </c>
      <c r="F58" t="s">
        <v>345</v>
      </c>
      <c r="G58" t="s">
        <v>346</v>
      </c>
      <c r="H58" t="s">
        <v>347</v>
      </c>
      <c r="I58" t="s">
        <v>348</v>
      </c>
    </row>
    <row r="59" spans="1:9" x14ac:dyDescent="0.35">
      <c r="A59" t="s">
        <v>349</v>
      </c>
      <c r="B59" t="s">
        <v>350</v>
      </c>
      <c r="C59">
        <v>2024</v>
      </c>
      <c r="D59">
        <v>16</v>
      </c>
      <c r="E59" t="s">
        <v>229</v>
      </c>
      <c r="F59" t="s">
        <v>351</v>
      </c>
      <c r="G59" t="s">
        <v>352</v>
      </c>
      <c r="H59" t="s">
        <v>353</v>
      </c>
      <c r="I59" t="s">
        <v>354</v>
      </c>
    </row>
    <row r="60" spans="1:9" x14ac:dyDescent="0.35">
      <c r="A60" t="s">
        <v>355</v>
      </c>
      <c r="B60" t="s">
        <v>356</v>
      </c>
      <c r="C60">
        <v>2019</v>
      </c>
      <c r="D60">
        <v>6</v>
      </c>
      <c r="E60" t="s">
        <v>229</v>
      </c>
      <c r="F60" t="s">
        <v>357</v>
      </c>
      <c r="G60" t="s">
        <v>358</v>
      </c>
      <c r="H60" t="s">
        <v>359</v>
      </c>
      <c r="I60" t="s">
        <v>360</v>
      </c>
    </row>
    <row r="61" spans="1:9" x14ac:dyDescent="0.35">
      <c r="A61" t="s">
        <v>361</v>
      </c>
      <c r="B61" t="s">
        <v>362</v>
      </c>
      <c r="C61">
        <v>2019</v>
      </c>
      <c r="D61">
        <v>6</v>
      </c>
      <c r="E61" t="s">
        <v>229</v>
      </c>
      <c r="F61" t="s">
        <v>363</v>
      </c>
      <c r="G61" t="s">
        <v>358</v>
      </c>
      <c r="H61" t="s">
        <v>364</v>
      </c>
      <c r="I61" t="s">
        <v>365</v>
      </c>
    </row>
    <row r="62" spans="1:9" x14ac:dyDescent="0.35">
      <c r="A62" t="s">
        <v>366</v>
      </c>
      <c r="B62" t="s">
        <v>367</v>
      </c>
      <c r="C62">
        <v>2022</v>
      </c>
      <c r="D62">
        <v>12</v>
      </c>
      <c r="E62" t="s">
        <v>229</v>
      </c>
      <c r="F62" t="s">
        <v>368</v>
      </c>
      <c r="G62" t="s">
        <v>369</v>
      </c>
      <c r="H62" t="s">
        <v>370</v>
      </c>
      <c r="I62" t="s">
        <v>371</v>
      </c>
    </row>
    <row r="63" spans="1:9" x14ac:dyDescent="0.35">
      <c r="A63" t="s">
        <v>372</v>
      </c>
      <c r="B63" t="s">
        <v>373</v>
      </c>
      <c r="C63">
        <v>2020</v>
      </c>
      <c r="D63">
        <v>16</v>
      </c>
      <c r="E63" t="s">
        <v>229</v>
      </c>
      <c r="F63" t="s">
        <v>374</v>
      </c>
      <c r="G63" t="s">
        <v>375</v>
      </c>
      <c r="H63" t="s">
        <v>376</v>
      </c>
      <c r="I63" t="s">
        <v>377</v>
      </c>
    </row>
    <row r="64" spans="1:9" x14ac:dyDescent="0.35">
      <c r="A64" t="s">
        <v>378</v>
      </c>
      <c r="B64" t="s">
        <v>379</v>
      </c>
      <c r="C64">
        <v>2017</v>
      </c>
      <c r="D64">
        <v>18</v>
      </c>
      <c r="E64" t="s">
        <v>229</v>
      </c>
      <c r="F64" t="s">
        <v>380</v>
      </c>
      <c r="G64" t="s">
        <v>193</v>
      </c>
      <c r="H64" t="s">
        <v>381</v>
      </c>
      <c r="I64" t="s">
        <v>382</v>
      </c>
    </row>
    <row r="65" spans="1:9" x14ac:dyDescent="0.35">
      <c r="A65" t="s">
        <v>383</v>
      </c>
      <c r="B65" t="s">
        <v>384</v>
      </c>
      <c r="C65">
        <v>2022</v>
      </c>
      <c r="D65">
        <v>20</v>
      </c>
      <c r="E65" t="s">
        <v>229</v>
      </c>
      <c r="F65" t="s">
        <v>385</v>
      </c>
      <c r="G65" t="s">
        <v>386</v>
      </c>
      <c r="H65" t="s">
        <v>387</v>
      </c>
      <c r="I65" t="s">
        <v>388</v>
      </c>
    </row>
    <row r="66" spans="1:9" x14ac:dyDescent="0.35">
      <c r="A66" t="s">
        <v>389</v>
      </c>
      <c r="B66" t="s">
        <v>390</v>
      </c>
      <c r="C66">
        <v>2020</v>
      </c>
      <c r="D66">
        <v>10</v>
      </c>
      <c r="E66" t="s">
        <v>229</v>
      </c>
      <c r="F66" t="s">
        <v>391</v>
      </c>
      <c r="G66" t="s">
        <v>392</v>
      </c>
      <c r="H66" t="s">
        <v>393</v>
      </c>
      <c r="I66" t="s">
        <v>394</v>
      </c>
    </row>
    <row r="67" spans="1:9" x14ac:dyDescent="0.35">
      <c r="A67" t="s">
        <v>395</v>
      </c>
      <c r="B67" t="s">
        <v>396</v>
      </c>
      <c r="C67">
        <v>2015</v>
      </c>
      <c r="D67">
        <v>20</v>
      </c>
      <c r="E67" t="s">
        <v>229</v>
      </c>
      <c r="F67" t="s">
        <v>397</v>
      </c>
      <c r="G67" t="s">
        <v>114</v>
      </c>
      <c r="H67" t="s">
        <v>398</v>
      </c>
      <c r="I67" t="s">
        <v>399</v>
      </c>
    </row>
    <row r="68" spans="1:9" x14ac:dyDescent="0.35">
      <c r="A68" t="s">
        <v>400</v>
      </c>
      <c r="B68" t="s">
        <v>401</v>
      </c>
      <c r="C68">
        <v>2016</v>
      </c>
      <c r="D68">
        <v>20</v>
      </c>
      <c r="E68" t="s">
        <v>229</v>
      </c>
      <c r="F68" t="s">
        <v>402</v>
      </c>
      <c r="G68" t="s">
        <v>403</v>
      </c>
      <c r="H68" t="s">
        <v>404</v>
      </c>
      <c r="I68" t="s">
        <v>405</v>
      </c>
    </row>
    <row r="69" spans="1:9" x14ac:dyDescent="0.35">
      <c r="A69" t="s">
        <v>406</v>
      </c>
      <c r="B69" t="s">
        <v>407</v>
      </c>
      <c r="C69">
        <v>2022</v>
      </c>
      <c r="D69">
        <v>12</v>
      </c>
      <c r="E69" t="s">
        <v>229</v>
      </c>
      <c r="F69" t="s">
        <v>408</v>
      </c>
      <c r="G69" t="s">
        <v>409</v>
      </c>
      <c r="H69" t="s">
        <v>410</v>
      </c>
      <c r="I69" t="s">
        <v>408</v>
      </c>
    </row>
    <row r="70" spans="1:9" x14ac:dyDescent="0.35">
      <c r="A70" t="s">
        <v>411</v>
      </c>
      <c r="B70" t="s">
        <v>412</v>
      </c>
      <c r="C70">
        <v>2014</v>
      </c>
      <c r="D70">
        <v>20</v>
      </c>
      <c r="E70" t="s">
        <v>229</v>
      </c>
      <c r="F70" t="s">
        <v>413</v>
      </c>
      <c r="G70" t="s">
        <v>414</v>
      </c>
      <c r="H70" t="s">
        <v>415</v>
      </c>
      <c r="I70" t="s">
        <v>416</v>
      </c>
    </row>
    <row r="71" spans="1:9" x14ac:dyDescent="0.35">
      <c r="A71" t="s">
        <v>417</v>
      </c>
      <c r="B71" t="s">
        <v>418</v>
      </c>
      <c r="C71">
        <v>2017</v>
      </c>
      <c r="D71">
        <v>16</v>
      </c>
      <c r="E71" t="s">
        <v>229</v>
      </c>
      <c r="F71" t="s">
        <v>419</v>
      </c>
      <c r="G71" t="s">
        <v>420</v>
      </c>
      <c r="H71" t="s">
        <v>421</v>
      </c>
      <c r="I71" t="s">
        <v>422</v>
      </c>
    </row>
    <row r="72" spans="1:9" x14ac:dyDescent="0.35">
      <c r="A72" t="s">
        <v>423</v>
      </c>
      <c r="B72" t="s">
        <v>424</v>
      </c>
      <c r="C72">
        <v>2019</v>
      </c>
      <c r="D72">
        <v>40</v>
      </c>
      <c r="E72" t="s">
        <v>229</v>
      </c>
      <c r="F72" t="s">
        <v>425</v>
      </c>
      <c r="G72" t="s">
        <v>426</v>
      </c>
      <c r="H72" t="s">
        <v>427</v>
      </c>
      <c r="I72" t="s">
        <v>428</v>
      </c>
    </row>
    <row r="73" spans="1:9" x14ac:dyDescent="0.35">
      <c r="A73" t="s">
        <v>429</v>
      </c>
      <c r="B73" t="s">
        <v>430</v>
      </c>
      <c r="C73">
        <v>2023</v>
      </c>
      <c r="D73">
        <v>8</v>
      </c>
      <c r="E73" t="s">
        <v>229</v>
      </c>
      <c r="F73" t="s">
        <v>431</v>
      </c>
      <c r="G73" t="s">
        <v>432</v>
      </c>
      <c r="H73" t="s">
        <v>433</v>
      </c>
      <c r="I73" t="s">
        <v>434</v>
      </c>
    </row>
    <row r="74" spans="1:9" x14ac:dyDescent="0.35">
      <c r="A74" t="s">
        <v>435</v>
      </c>
      <c r="B74" t="s">
        <v>436</v>
      </c>
      <c r="C74">
        <v>2021</v>
      </c>
      <c r="D74">
        <v>8</v>
      </c>
      <c r="E74" t="s">
        <v>229</v>
      </c>
      <c r="F74" t="s">
        <v>437</v>
      </c>
      <c r="G74" t="s">
        <v>438</v>
      </c>
      <c r="H74" t="s">
        <v>439</v>
      </c>
      <c r="I74" t="s">
        <v>440</v>
      </c>
    </row>
    <row r="75" spans="1:9" x14ac:dyDescent="0.35">
      <c r="A75" t="s">
        <v>441</v>
      </c>
      <c r="B75" t="s">
        <v>442</v>
      </c>
      <c r="C75">
        <v>2019</v>
      </c>
      <c r="D75">
        <v>16</v>
      </c>
      <c r="E75" t="s">
        <v>229</v>
      </c>
      <c r="F75" t="s">
        <v>443</v>
      </c>
      <c r="G75" t="s">
        <v>444</v>
      </c>
      <c r="H75" t="s">
        <v>445</v>
      </c>
      <c r="I75" t="s">
        <v>446</v>
      </c>
    </row>
    <row r="76" spans="1:9" x14ac:dyDescent="0.35">
      <c r="A76" t="s">
        <v>447</v>
      </c>
      <c r="B76" t="s">
        <v>448</v>
      </c>
      <c r="C76">
        <v>2024</v>
      </c>
      <c r="D76">
        <v>12</v>
      </c>
      <c r="E76" t="s">
        <v>229</v>
      </c>
      <c r="F76" t="s">
        <v>449</v>
      </c>
      <c r="G76" t="s">
        <v>450</v>
      </c>
      <c r="H76" t="s">
        <v>451</v>
      </c>
      <c r="I76" t="s">
        <v>452</v>
      </c>
    </row>
    <row r="77" spans="1:9" x14ac:dyDescent="0.35">
      <c r="A77" t="s">
        <v>453</v>
      </c>
      <c r="B77" t="s">
        <v>454</v>
      </c>
      <c r="C77">
        <v>2019</v>
      </c>
      <c r="D77">
        <v>16</v>
      </c>
      <c r="E77" t="s">
        <v>229</v>
      </c>
      <c r="F77" t="s">
        <v>455</v>
      </c>
      <c r="G77" t="s">
        <v>456</v>
      </c>
      <c r="H77" t="s">
        <v>457</v>
      </c>
      <c r="I77" t="s">
        <v>458</v>
      </c>
    </row>
    <row r="78" spans="1:9" x14ac:dyDescent="0.35">
      <c r="A78" t="s">
        <v>459</v>
      </c>
      <c r="B78" t="s">
        <v>460</v>
      </c>
      <c r="C78">
        <v>2016</v>
      </c>
      <c r="D78">
        <v>20</v>
      </c>
      <c r="E78" t="s">
        <v>229</v>
      </c>
      <c r="F78" t="s">
        <v>461</v>
      </c>
      <c r="G78" t="s">
        <v>462</v>
      </c>
      <c r="H78" t="s">
        <v>463</v>
      </c>
      <c r="I78" t="s">
        <v>464</v>
      </c>
    </row>
    <row r="79" spans="1:9" x14ac:dyDescent="0.35">
      <c r="A79" t="s">
        <v>465</v>
      </c>
      <c r="B79" t="s">
        <v>466</v>
      </c>
      <c r="C79">
        <v>2016</v>
      </c>
      <c r="D79">
        <v>16</v>
      </c>
      <c r="E79" t="s">
        <v>229</v>
      </c>
      <c r="F79" t="s">
        <v>467</v>
      </c>
      <c r="G79" t="s">
        <v>468</v>
      </c>
      <c r="H79" t="s">
        <v>469</v>
      </c>
      <c r="I79" t="s">
        <v>470</v>
      </c>
    </row>
    <row r="80" spans="1:9" x14ac:dyDescent="0.35">
      <c r="A80" t="s">
        <v>471</v>
      </c>
      <c r="B80" t="s">
        <v>472</v>
      </c>
      <c r="C80">
        <v>2021</v>
      </c>
      <c r="D80">
        <v>16</v>
      </c>
      <c r="E80" t="s">
        <v>229</v>
      </c>
      <c r="F80" t="s">
        <v>473</v>
      </c>
      <c r="G80" t="s">
        <v>254</v>
      </c>
      <c r="H80" t="s">
        <v>474</v>
      </c>
      <c r="I80" t="s">
        <v>475</v>
      </c>
    </row>
    <row r="81" spans="1:9" x14ac:dyDescent="0.35">
      <c r="A81" t="s">
        <v>476</v>
      </c>
      <c r="B81" t="s">
        <v>477</v>
      </c>
      <c r="C81">
        <v>2019</v>
      </c>
      <c r="D81">
        <v>10</v>
      </c>
      <c r="E81" t="s">
        <v>229</v>
      </c>
      <c r="F81" t="s">
        <v>478</v>
      </c>
      <c r="G81" t="s">
        <v>479</v>
      </c>
      <c r="H81" t="s">
        <v>480</v>
      </c>
      <c r="I81" t="s">
        <v>481</v>
      </c>
    </row>
    <row r="82" spans="1:9" x14ac:dyDescent="0.35">
      <c r="A82" t="s">
        <v>482</v>
      </c>
      <c r="B82" t="s">
        <v>483</v>
      </c>
      <c r="C82">
        <v>2018</v>
      </c>
      <c r="D82">
        <v>18</v>
      </c>
      <c r="E82" t="s">
        <v>229</v>
      </c>
      <c r="F82" t="s">
        <v>484</v>
      </c>
      <c r="G82" t="s">
        <v>485</v>
      </c>
      <c r="H82" t="s">
        <v>486</v>
      </c>
      <c r="I82" t="s">
        <v>487</v>
      </c>
    </row>
    <row r="83" spans="1:9" x14ac:dyDescent="0.35">
      <c r="A83" t="s">
        <v>488</v>
      </c>
      <c r="B83" t="s">
        <v>489</v>
      </c>
      <c r="C83">
        <v>2017</v>
      </c>
      <c r="D83">
        <v>16</v>
      </c>
      <c r="E83" t="s">
        <v>229</v>
      </c>
      <c r="F83" t="s">
        <v>490</v>
      </c>
      <c r="G83" t="s">
        <v>491</v>
      </c>
      <c r="H83" t="s">
        <v>492</v>
      </c>
      <c r="I83" t="s">
        <v>493</v>
      </c>
    </row>
    <row r="84" spans="1:9" x14ac:dyDescent="0.35">
      <c r="A84" t="s">
        <v>494</v>
      </c>
      <c r="B84" t="s">
        <v>495</v>
      </c>
      <c r="C84">
        <v>2022</v>
      </c>
      <c r="D84">
        <v>16</v>
      </c>
      <c r="E84" t="s">
        <v>496</v>
      </c>
      <c r="F84" t="s">
        <v>497</v>
      </c>
      <c r="G84" t="s">
        <v>386</v>
      </c>
      <c r="H84" t="s">
        <v>498</v>
      </c>
      <c r="I84" t="s">
        <v>499</v>
      </c>
    </row>
    <row r="85" spans="1:9" x14ac:dyDescent="0.35">
      <c r="A85" t="s">
        <v>500</v>
      </c>
      <c r="B85" t="s">
        <v>501</v>
      </c>
      <c r="C85">
        <v>2019</v>
      </c>
      <c r="D85">
        <v>32</v>
      </c>
      <c r="E85" t="s">
        <v>496</v>
      </c>
      <c r="F85" t="s">
        <v>502</v>
      </c>
      <c r="G85" t="s">
        <v>503</v>
      </c>
      <c r="H85" t="s">
        <v>504</v>
      </c>
      <c r="I85" t="s">
        <v>505</v>
      </c>
    </row>
    <row r="86" spans="1:9" x14ac:dyDescent="0.35">
      <c r="A86" t="s">
        <v>506</v>
      </c>
      <c r="B86" t="s">
        <v>507</v>
      </c>
      <c r="C86">
        <v>2003</v>
      </c>
      <c r="D86">
        <v>54</v>
      </c>
      <c r="E86" t="s">
        <v>496</v>
      </c>
      <c r="F86" t="s">
        <v>508</v>
      </c>
      <c r="G86" t="s">
        <v>509</v>
      </c>
      <c r="H86" t="s">
        <v>510</v>
      </c>
      <c r="I86" t="s">
        <v>511</v>
      </c>
    </row>
    <row r="87" spans="1:9" x14ac:dyDescent="0.35">
      <c r="A87" t="s">
        <v>512</v>
      </c>
      <c r="B87" t="s">
        <v>513</v>
      </c>
      <c r="C87">
        <v>2014</v>
      </c>
      <c r="D87">
        <v>16</v>
      </c>
      <c r="E87" t="s">
        <v>496</v>
      </c>
      <c r="F87" t="s">
        <v>514</v>
      </c>
      <c r="G87" t="s">
        <v>114</v>
      </c>
      <c r="H87" t="s">
        <v>515</v>
      </c>
      <c r="I87" t="s">
        <v>516</v>
      </c>
    </row>
    <row r="88" spans="1:9" x14ac:dyDescent="0.35">
      <c r="A88" t="s">
        <v>517</v>
      </c>
      <c r="B88" t="s">
        <v>518</v>
      </c>
      <c r="C88">
        <v>2025</v>
      </c>
      <c r="D88">
        <v>12</v>
      </c>
      <c r="E88" t="s">
        <v>496</v>
      </c>
      <c r="F88" t="s">
        <v>519</v>
      </c>
      <c r="G88" t="s">
        <v>520</v>
      </c>
      <c r="H88" t="s">
        <v>521</v>
      </c>
      <c r="I88" t="s">
        <v>522</v>
      </c>
    </row>
    <row r="89" spans="1:9" x14ac:dyDescent="0.35">
      <c r="A89" t="s">
        <v>523</v>
      </c>
      <c r="B89" t="s">
        <v>524</v>
      </c>
      <c r="C89">
        <v>2022</v>
      </c>
      <c r="D89">
        <v>12</v>
      </c>
      <c r="E89" t="s">
        <v>496</v>
      </c>
      <c r="F89" t="s">
        <v>525</v>
      </c>
      <c r="G89" t="s">
        <v>284</v>
      </c>
      <c r="H89" t="s">
        <v>526</v>
      </c>
      <c r="I89" t="s">
        <v>527</v>
      </c>
    </row>
    <row r="90" spans="1:9" x14ac:dyDescent="0.35">
      <c r="A90" t="s">
        <v>528</v>
      </c>
      <c r="B90" t="s">
        <v>529</v>
      </c>
      <c r="C90">
        <v>2022</v>
      </c>
      <c r="D90">
        <v>16</v>
      </c>
      <c r="E90" t="s">
        <v>496</v>
      </c>
      <c r="F90" t="s">
        <v>530</v>
      </c>
      <c r="G90" t="s">
        <v>531</v>
      </c>
      <c r="H90" t="s">
        <v>532</v>
      </c>
      <c r="I90" t="s">
        <v>533</v>
      </c>
    </row>
    <row r="91" spans="1:9" x14ac:dyDescent="0.35">
      <c r="A91" t="s">
        <v>534</v>
      </c>
      <c r="B91" t="s">
        <v>535</v>
      </c>
      <c r="C91">
        <v>2018</v>
      </c>
      <c r="D91">
        <v>20</v>
      </c>
      <c r="E91" t="s">
        <v>496</v>
      </c>
      <c r="F91" t="s">
        <v>536</v>
      </c>
      <c r="G91" t="s">
        <v>537</v>
      </c>
      <c r="H91" t="s">
        <v>538</v>
      </c>
      <c r="I91" t="s">
        <v>539</v>
      </c>
    </row>
    <row r="92" spans="1:9" x14ac:dyDescent="0.35">
      <c r="A92" t="s">
        <v>540</v>
      </c>
      <c r="B92" t="s">
        <v>541</v>
      </c>
      <c r="C92">
        <v>2012</v>
      </c>
      <c r="D92">
        <v>28</v>
      </c>
      <c r="E92" t="s">
        <v>496</v>
      </c>
      <c r="F92" t="s">
        <v>542</v>
      </c>
      <c r="G92" t="s">
        <v>543</v>
      </c>
      <c r="H92" t="s">
        <v>544</v>
      </c>
      <c r="I92" t="s">
        <v>545</v>
      </c>
    </row>
    <row r="93" spans="1:9" x14ac:dyDescent="0.35">
      <c r="A93" t="s">
        <v>546</v>
      </c>
      <c r="B93" t="s">
        <v>547</v>
      </c>
      <c r="C93">
        <v>2023</v>
      </c>
      <c r="D93">
        <v>12</v>
      </c>
      <c r="E93" t="s">
        <v>496</v>
      </c>
      <c r="F93" t="s">
        <v>548</v>
      </c>
      <c r="G93" t="s">
        <v>549</v>
      </c>
      <c r="H93" t="s">
        <v>550</v>
      </c>
      <c r="I93" t="s">
        <v>551</v>
      </c>
    </row>
    <row r="94" spans="1:9" x14ac:dyDescent="0.35">
      <c r="A94" t="s">
        <v>552</v>
      </c>
      <c r="B94" t="s">
        <v>553</v>
      </c>
      <c r="C94">
        <v>2018</v>
      </c>
      <c r="D94">
        <v>32</v>
      </c>
      <c r="E94" t="s">
        <v>496</v>
      </c>
      <c r="F94" t="s">
        <v>554</v>
      </c>
      <c r="G94" t="s">
        <v>555</v>
      </c>
      <c r="H94" t="s">
        <v>556</v>
      </c>
      <c r="I94" t="s">
        <v>557</v>
      </c>
    </row>
    <row r="95" spans="1:9" x14ac:dyDescent="0.35">
      <c r="A95" t="s">
        <v>558</v>
      </c>
      <c r="B95" t="s">
        <v>559</v>
      </c>
      <c r="C95">
        <v>2017</v>
      </c>
      <c r="D95">
        <v>20</v>
      </c>
      <c r="E95" t="s">
        <v>496</v>
      </c>
      <c r="F95" t="s">
        <v>560</v>
      </c>
      <c r="G95" t="s">
        <v>561</v>
      </c>
      <c r="H95" t="s">
        <v>562</v>
      </c>
      <c r="I95" t="s">
        <v>563</v>
      </c>
    </row>
    <row r="96" spans="1:9" x14ac:dyDescent="0.35">
      <c r="A96" t="s">
        <v>564</v>
      </c>
      <c r="B96" t="s">
        <v>565</v>
      </c>
      <c r="C96">
        <v>2022</v>
      </c>
      <c r="D96">
        <v>12</v>
      </c>
      <c r="E96" t="s">
        <v>496</v>
      </c>
      <c r="F96" t="s">
        <v>566</v>
      </c>
      <c r="G96" t="s">
        <v>567</v>
      </c>
      <c r="H96" t="s">
        <v>568</v>
      </c>
      <c r="I96" t="s">
        <v>569</v>
      </c>
    </row>
    <row r="97" spans="1:9" x14ac:dyDescent="0.35">
      <c r="A97" t="s">
        <v>570</v>
      </c>
      <c r="B97" t="s">
        <v>571</v>
      </c>
      <c r="C97">
        <v>2022</v>
      </c>
      <c r="D97">
        <v>16</v>
      </c>
      <c r="E97" t="s">
        <v>496</v>
      </c>
      <c r="F97" t="s">
        <v>572</v>
      </c>
      <c r="G97" t="s">
        <v>573</v>
      </c>
      <c r="H97" t="s">
        <v>574</v>
      </c>
      <c r="I97" t="s">
        <v>575</v>
      </c>
    </row>
    <row r="98" spans="1:9" x14ac:dyDescent="0.35">
      <c r="A98" t="s">
        <v>576</v>
      </c>
      <c r="B98" t="s">
        <v>577</v>
      </c>
      <c r="C98">
        <v>2017</v>
      </c>
      <c r="D98">
        <v>12</v>
      </c>
      <c r="E98" t="s">
        <v>496</v>
      </c>
      <c r="F98" t="s">
        <v>578</v>
      </c>
      <c r="G98" t="s">
        <v>579</v>
      </c>
      <c r="H98" t="s">
        <v>580</v>
      </c>
      <c r="I98" t="s">
        <v>581</v>
      </c>
    </row>
    <row r="99" spans="1:9" x14ac:dyDescent="0.35">
      <c r="A99" t="s">
        <v>582</v>
      </c>
      <c r="B99" t="s">
        <v>583</v>
      </c>
      <c r="C99">
        <v>2013</v>
      </c>
      <c r="D99">
        <v>51</v>
      </c>
      <c r="E99" t="s">
        <v>496</v>
      </c>
      <c r="F99" t="s">
        <v>584</v>
      </c>
      <c r="G99" t="s">
        <v>585</v>
      </c>
      <c r="H99" t="s">
        <v>586</v>
      </c>
      <c r="I99" t="s">
        <v>587</v>
      </c>
    </row>
    <row r="100" spans="1:9" x14ac:dyDescent="0.35">
      <c r="A100" t="s">
        <v>588</v>
      </c>
      <c r="B100" t="s">
        <v>589</v>
      </c>
      <c r="C100">
        <v>2017</v>
      </c>
      <c r="D100">
        <v>52</v>
      </c>
      <c r="E100" t="s">
        <v>496</v>
      </c>
      <c r="F100" t="s">
        <v>590</v>
      </c>
      <c r="G100" t="s">
        <v>591</v>
      </c>
      <c r="H100" t="s">
        <v>592</v>
      </c>
      <c r="I100" t="s">
        <v>593</v>
      </c>
    </row>
    <row r="101" spans="1:9" x14ac:dyDescent="0.35">
      <c r="A101" t="s">
        <v>594</v>
      </c>
      <c r="B101" t="s">
        <v>595</v>
      </c>
      <c r="C101">
        <v>2024</v>
      </c>
      <c r="D101">
        <v>8</v>
      </c>
      <c r="E101" t="s">
        <v>496</v>
      </c>
      <c r="F101" t="s">
        <v>596</v>
      </c>
      <c r="G101" t="s">
        <v>597</v>
      </c>
      <c r="H101" t="s">
        <v>598</v>
      </c>
      <c r="I101" t="s">
        <v>599</v>
      </c>
    </row>
    <row r="102" spans="1:9" x14ac:dyDescent="0.35">
      <c r="A102" t="s">
        <v>600</v>
      </c>
      <c r="B102" t="s">
        <v>601</v>
      </c>
      <c r="C102">
        <v>2020</v>
      </c>
      <c r="D102">
        <v>100</v>
      </c>
      <c r="E102" t="s">
        <v>496</v>
      </c>
      <c r="F102" t="s">
        <v>602</v>
      </c>
      <c r="G102" t="s">
        <v>591</v>
      </c>
      <c r="H102" t="s">
        <v>603</v>
      </c>
      <c r="I102" t="s">
        <v>604</v>
      </c>
    </row>
    <row r="103" spans="1:9" x14ac:dyDescent="0.35">
      <c r="A103" t="s">
        <v>605</v>
      </c>
      <c r="B103" t="s">
        <v>606</v>
      </c>
      <c r="C103">
        <v>2020</v>
      </c>
      <c r="D103">
        <v>12</v>
      </c>
      <c r="E103" t="s">
        <v>496</v>
      </c>
      <c r="F103" t="s">
        <v>607</v>
      </c>
      <c r="G103" t="s">
        <v>608</v>
      </c>
      <c r="H103" t="s">
        <v>609</v>
      </c>
      <c r="I103" t="s">
        <v>610</v>
      </c>
    </row>
    <row r="104" spans="1:9" x14ac:dyDescent="0.35">
      <c r="A104" t="s">
        <v>611</v>
      </c>
      <c r="B104" t="s">
        <v>612</v>
      </c>
      <c r="C104">
        <v>2020</v>
      </c>
      <c r="D104">
        <v>16</v>
      </c>
      <c r="E104" t="s">
        <v>496</v>
      </c>
      <c r="F104" t="s">
        <v>613</v>
      </c>
      <c r="G104" t="s">
        <v>193</v>
      </c>
      <c r="H104" t="s">
        <v>614</v>
      </c>
      <c r="I104" t="s">
        <v>615</v>
      </c>
    </row>
    <row r="105" spans="1:9" x14ac:dyDescent="0.35">
      <c r="A105" t="s">
        <v>616</v>
      </c>
      <c r="B105" t="s">
        <v>617</v>
      </c>
      <c r="C105">
        <v>2019</v>
      </c>
      <c r="D105">
        <v>16</v>
      </c>
      <c r="E105" t="s">
        <v>496</v>
      </c>
      <c r="F105" t="s">
        <v>618</v>
      </c>
      <c r="G105" t="s">
        <v>619</v>
      </c>
      <c r="H105" t="s">
        <v>620</v>
      </c>
      <c r="I105" t="s">
        <v>621</v>
      </c>
    </row>
    <row r="106" spans="1:9" x14ac:dyDescent="0.35">
      <c r="A106" t="s">
        <v>622</v>
      </c>
      <c r="B106" t="s">
        <v>623</v>
      </c>
      <c r="C106">
        <v>2022</v>
      </c>
      <c r="D106">
        <v>10</v>
      </c>
      <c r="E106" t="s">
        <v>496</v>
      </c>
      <c r="F106" t="s">
        <v>624</v>
      </c>
      <c r="G106" t="s">
        <v>625</v>
      </c>
      <c r="H106" t="s">
        <v>626</v>
      </c>
      <c r="I106" t="s">
        <v>627</v>
      </c>
    </row>
    <row r="107" spans="1:9" x14ac:dyDescent="0.35">
      <c r="A107" t="s">
        <v>628</v>
      </c>
      <c r="B107" t="s">
        <v>629</v>
      </c>
      <c r="C107">
        <v>2013</v>
      </c>
      <c r="D107">
        <v>20</v>
      </c>
      <c r="E107" t="s">
        <v>496</v>
      </c>
      <c r="F107" t="s">
        <v>630</v>
      </c>
      <c r="G107" t="s">
        <v>631</v>
      </c>
      <c r="H107" t="s">
        <v>632</v>
      </c>
      <c r="I107" t="s">
        <v>633</v>
      </c>
    </row>
    <row r="108" spans="1:9" x14ac:dyDescent="0.35">
      <c r="A108" t="s">
        <v>634</v>
      </c>
      <c r="B108" t="s">
        <v>635</v>
      </c>
      <c r="C108">
        <v>2023</v>
      </c>
      <c r="D108">
        <v>16</v>
      </c>
      <c r="E108" t="s">
        <v>496</v>
      </c>
      <c r="F108" t="s">
        <v>636</v>
      </c>
      <c r="G108" t="s">
        <v>637</v>
      </c>
      <c r="H108" t="s">
        <v>638</v>
      </c>
      <c r="I108" t="s">
        <v>639</v>
      </c>
    </row>
    <row r="109" spans="1:9" x14ac:dyDescent="0.35">
      <c r="A109" t="s">
        <v>640</v>
      </c>
      <c r="B109" t="s">
        <v>641</v>
      </c>
      <c r="C109">
        <v>2013</v>
      </c>
      <c r="D109">
        <v>21</v>
      </c>
      <c r="E109" t="s">
        <v>496</v>
      </c>
      <c r="F109" t="s">
        <v>642</v>
      </c>
      <c r="G109" t="s">
        <v>643</v>
      </c>
      <c r="H109" t="s">
        <v>644</v>
      </c>
      <c r="I109" t="s">
        <v>645</v>
      </c>
    </row>
    <row r="110" spans="1:9" x14ac:dyDescent="0.35">
      <c r="A110" t="s">
        <v>646</v>
      </c>
      <c r="B110" t="s">
        <v>647</v>
      </c>
      <c r="C110">
        <v>2020</v>
      </c>
      <c r="D110">
        <v>12</v>
      </c>
      <c r="E110" t="s">
        <v>496</v>
      </c>
      <c r="F110" t="s">
        <v>648</v>
      </c>
      <c r="G110" t="s">
        <v>649</v>
      </c>
      <c r="H110" t="s">
        <v>650</v>
      </c>
      <c r="I110" t="s">
        <v>651</v>
      </c>
    </row>
    <row r="111" spans="1:9" x14ac:dyDescent="0.35">
      <c r="A111" t="s">
        <v>652</v>
      </c>
      <c r="B111" t="s">
        <v>653</v>
      </c>
      <c r="C111">
        <v>2016</v>
      </c>
      <c r="D111">
        <v>12</v>
      </c>
      <c r="E111" t="s">
        <v>496</v>
      </c>
      <c r="F111" t="s">
        <v>654</v>
      </c>
      <c r="G111" t="s">
        <v>655</v>
      </c>
      <c r="H111" t="s">
        <v>656</v>
      </c>
      <c r="I111" t="s">
        <v>657</v>
      </c>
    </row>
    <row r="112" spans="1:9" x14ac:dyDescent="0.35">
      <c r="A112" t="s">
        <v>658</v>
      </c>
      <c r="B112" t="s">
        <v>659</v>
      </c>
      <c r="C112">
        <v>2017</v>
      </c>
      <c r="D112">
        <v>16</v>
      </c>
      <c r="E112" t="s">
        <v>496</v>
      </c>
      <c r="F112" t="s">
        <v>660</v>
      </c>
      <c r="G112" t="s">
        <v>661</v>
      </c>
      <c r="H112" t="s">
        <v>662</v>
      </c>
      <c r="I112" t="s">
        <v>663</v>
      </c>
    </row>
    <row r="113" spans="1:9" x14ac:dyDescent="0.35">
      <c r="A113" t="s">
        <v>664</v>
      </c>
      <c r="B113" t="s">
        <v>665</v>
      </c>
      <c r="C113">
        <v>2017</v>
      </c>
      <c r="D113">
        <v>16</v>
      </c>
      <c r="E113" t="s">
        <v>496</v>
      </c>
      <c r="F113" t="s">
        <v>666</v>
      </c>
      <c r="G113" t="s">
        <v>272</v>
      </c>
      <c r="H113" t="s">
        <v>667</v>
      </c>
      <c r="I113" t="s">
        <v>668</v>
      </c>
    </row>
    <row r="114" spans="1:9" x14ac:dyDescent="0.35">
      <c r="A114" t="s">
        <v>669</v>
      </c>
      <c r="B114" t="s">
        <v>670</v>
      </c>
      <c r="C114">
        <v>2021</v>
      </c>
      <c r="D114">
        <v>12</v>
      </c>
      <c r="E114" t="s">
        <v>496</v>
      </c>
      <c r="F114" t="s">
        <v>671</v>
      </c>
      <c r="G114" t="s">
        <v>352</v>
      </c>
      <c r="H114" t="s">
        <v>672</v>
      </c>
      <c r="I114" t="s">
        <v>673</v>
      </c>
    </row>
    <row r="115" spans="1:9" x14ac:dyDescent="0.35">
      <c r="A115" t="s">
        <v>674</v>
      </c>
      <c r="B115">
        <v>365</v>
      </c>
      <c r="C115">
        <v>2020</v>
      </c>
      <c r="D115">
        <v>24</v>
      </c>
      <c r="E115" t="s">
        <v>496</v>
      </c>
      <c r="F115" t="s">
        <v>675</v>
      </c>
      <c r="G115" t="s">
        <v>676</v>
      </c>
      <c r="H115" t="s">
        <v>677</v>
      </c>
      <c r="I115" t="s">
        <v>678</v>
      </c>
    </row>
    <row r="116" spans="1:9" x14ac:dyDescent="0.35">
      <c r="A116" t="s">
        <v>679</v>
      </c>
      <c r="B116" t="s">
        <v>680</v>
      </c>
      <c r="C116">
        <v>2013</v>
      </c>
      <c r="D116">
        <v>17</v>
      </c>
      <c r="E116" t="s">
        <v>496</v>
      </c>
      <c r="F116" t="s">
        <v>681</v>
      </c>
      <c r="G116" t="s">
        <v>682</v>
      </c>
      <c r="H116" t="s">
        <v>683</v>
      </c>
      <c r="I116" t="s">
        <v>684</v>
      </c>
    </row>
    <row r="117" spans="1:9" x14ac:dyDescent="0.35">
      <c r="A117" t="s">
        <v>685</v>
      </c>
      <c r="B117" t="s">
        <v>686</v>
      </c>
      <c r="C117">
        <v>2017</v>
      </c>
      <c r="D117">
        <v>12</v>
      </c>
      <c r="E117" t="s">
        <v>496</v>
      </c>
      <c r="F117" t="s">
        <v>687</v>
      </c>
      <c r="G117" t="s">
        <v>688</v>
      </c>
      <c r="H117" t="s">
        <v>689</v>
      </c>
      <c r="I117" t="s">
        <v>690</v>
      </c>
    </row>
    <row r="118" spans="1:9" x14ac:dyDescent="0.35">
      <c r="A118" t="s">
        <v>691</v>
      </c>
      <c r="B118" t="s">
        <v>692</v>
      </c>
      <c r="C118">
        <v>2017</v>
      </c>
      <c r="D118">
        <v>30</v>
      </c>
      <c r="E118" t="s">
        <v>693</v>
      </c>
      <c r="F118" t="s">
        <v>694</v>
      </c>
      <c r="G118" t="s">
        <v>695</v>
      </c>
      <c r="H118" t="s">
        <v>696</v>
      </c>
      <c r="I118" t="s">
        <v>697</v>
      </c>
    </row>
    <row r="119" spans="1:9" x14ac:dyDescent="0.35">
      <c r="A119" t="s">
        <v>698</v>
      </c>
      <c r="B119" t="s">
        <v>699</v>
      </c>
      <c r="C119">
        <v>2024</v>
      </c>
      <c r="D119">
        <v>10</v>
      </c>
      <c r="E119" t="s">
        <v>693</v>
      </c>
      <c r="F119" t="s">
        <v>700</v>
      </c>
      <c r="G119" t="s">
        <v>701</v>
      </c>
      <c r="H119" t="s">
        <v>702</v>
      </c>
      <c r="I119" t="s">
        <v>703</v>
      </c>
    </row>
    <row r="120" spans="1:9" x14ac:dyDescent="0.35">
      <c r="A120" t="s">
        <v>704</v>
      </c>
      <c r="B120" t="s">
        <v>705</v>
      </c>
      <c r="C120">
        <v>2020</v>
      </c>
      <c r="D120">
        <v>16</v>
      </c>
      <c r="E120" t="s">
        <v>693</v>
      </c>
      <c r="F120" t="s">
        <v>706</v>
      </c>
      <c r="G120" t="s">
        <v>707</v>
      </c>
      <c r="H120" t="s">
        <v>708</v>
      </c>
      <c r="I120" t="s">
        <v>709</v>
      </c>
    </row>
    <row r="121" spans="1:9" x14ac:dyDescent="0.35">
      <c r="A121" t="s">
        <v>710</v>
      </c>
      <c r="B121" t="s">
        <v>711</v>
      </c>
      <c r="C121">
        <v>2014</v>
      </c>
      <c r="D121">
        <v>11</v>
      </c>
      <c r="E121" t="s">
        <v>693</v>
      </c>
      <c r="F121" t="s">
        <v>712</v>
      </c>
      <c r="G121" t="s">
        <v>713</v>
      </c>
      <c r="H121" t="s">
        <v>714</v>
      </c>
      <c r="I121" t="s">
        <v>715</v>
      </c>
    </row>
    <row r="122" spans="1:9" x14ac:dyDescent="0.35">
      <c r="A122" t="s">
        <v>716</v>
      </c>
      <c r="B122" t="s">
        <v>717</v>
      </c>
      <c r="C122">
        <v>2019</v>
      </c>
      <c r="D122">
        <v>16</v>
      </c>
      <c r="E122" t="s">
        <v>693</v>
      </c>
      <c r="F122" t="s">
        <v>718</v>
      </c>
      <c r="G122" t="s">
        <v>719</v>
      </c>
      <c r="H122" t="s">
        <v>720</v>
      </c>
      <c r="I122" t="s">
        <v>721</v>
      </c>
    </row>
    <row r="123" spans="1:9" x14ac:dyDescent="0.35">
      <c r="A123" t="s">
        <v>722</v>
      </c>
      <c r="B123" t="s">
        <v>723</v>
      </c>
      <c r="C123">
        <v>2024</v>
      </c>
      <c r="D123">
        <v>16</v>
      </c>
      <c r="E123" t="s">
        <v>693</v>
      </c>
      <c r="F123" t="s">
        <v>724</v>
      </c>
      <c r="G123" t="s">
        <v>725</v>
      </c>
      <c r="H123" t="s">
        <v>726</v>
      </c>
      <c r="I123" t="s">
        <v>727</v>
      </c>
    </row>
    <row r="124" spans="1:9" x14ac:dyDescent="0.35">
      <c r="A124" t="s">
        <v>728</v>
      </c>
      <c r="B124" t="s">
        <v>729</v>
      </c>
      <c r="C124">
        <v>2019</v>
      </c>
      <c r="D124">
        <v>6</v>
      </c>
      <c r="E124" t="s">
        <v>693</v>
      </c>
      <c r="F124" t="s">
        <v>730</v>
      </c>
      <c r="G124" t="s">
        <v>358</v>
      </c>
      <c r="H124" t="s">
        <v>731</v>
      </c>
      <c r="I124" t="s">
        <v>732</v>
      </c>
    </row>
    <row r="125" spans="1:9" x14ac:dyDescent="0.35">
      <c r="A125" t="s">
        <v>733</v>
      </c>
      <c r="B125" t="s">
        <v>734</v>
      </c>
      <c r="C125">
        <v>2020</v>
      </c>
      <c r="D125">
        <v>16</v>
      </c>
      <c r="E125" t="s">
        <v>693</v>
      </c>
      <c r="F125" t="s">
        <v>735</v>
      </c>
      <c r="G125" t="s">
        <v>736</v>
      </c>
      <c r="H125" t="s">
        <v>737</v>
      </c>
      <c r="I125" t="s">
        <v>738</v>
      </c>
    </row>
    <row r="126" spans="1:9" x14ac:dyDescent="0.35">
      <c r="A126" t="s">
        <v>739</v>
      </c>
      <c r="B126" t="s">
        <v>740</v>
      </c>
      <c r="C126">
        <v>2013</v>
      </c>
      <c r="D126">
        <v>18</v>
      </c>
      <c r="E126" t="s">
        <v>693</v>
      </c>
      <c r="F126" t="s">
        <v>741</v>
      </c>
      <c r="G126" t="s">
        <v>742</v>
      </c>
      <c r="H126" t="s">
        <v>743</v>
      </c>
      <c r="I126" t="s">
        <v>744</v>
      </c>
    </row>
    <row r="127" spans="1:9" x14ac:dyDescent="0.35">
      <c r="A127" t="s">
        <v>745</v>
      </c>
      <c r="B127" t="s">
        <v>746</v>
      </c>
      <c r="C127">
        <v>2018</v>
      </c>
      <c r="D127">
        <v>16</v>
      </c>
      <c r="E127" t="s">
        <v>693</v>
      </c>
      <c r="F127" t="s">
        <v>747</v>
      </c>
      <c r="G127" t="s">
        <v>748</v>
      </c>
      <c r="H127" t="s">
        <v>749</v>
      </c>
      <c r="I127" t="s">
        <v>750</v>
      </c>
    </row>
    <row r="128" spans="1:9" x14ac:dyDescent="0.35">
      <c r="A128" t="s">
        <v>751</v>
      </c>
      <c r="B128" t="s">
        <v>752</v>
      </c>
      <c r="C128">
        <v>2019</v>
      </c>
      <c r="D128">
        <v>16</v>
      </c>
      <c r="E128" t="s">
        <v>693</v>
      </c>
      <c r="F128" t="s">
        <v>753</v>
      </c>
      <c r="G128" t="s">
        <v>754</v>
      </c>
      <c r="H128" t="s">
        <v>755</v>
      </c>
      <c r="I128" t="s">
        <v>756</v>
      </c>
    </row>
    <row r="129" spans="1:9" x14ac:dyDescent="0.35">
      <c r="A129" t="s">
        <v>757</v>
      </c>
      <c r="B129" t="s">
        <v>758</v>
      </c>
      <c r="C129">
        <v>2021</v>
      </c>
      <c r="D129">
        <v>8</v>
      </c>
      <c r="E129" t="s">
        <v>693</v>
      </c>
      <c r="F129" t="s">
        <v>759</v>
      </c>
      <c r="G129" t="s">
        <v>760</v>
      </c>
      <c r="H129" t="s">
        <v>761</v>
      </c>
      <c r="I129" t="s">
        <v>762</v>
      </c>
    </row>
    <row r="130" spans="1:9" x14ac:dyDescent="0.35">
      <c r="A130" t="s">
        <v>763</v>
      </c>
      <c r="B130" t="s">
        <v>764</v>
      </c>
      <c r="C130">
        <v>2012</v>
      </c>
      <c r="D130">
        <v>16</v>
      </c>
      <c r="E130" t="s">
        <v>693</v>
      </c>
      <c r="F130" t="s">
        <v>765</v>
      </c>
      <c r="G130" t="s">
        <v>766</v>
      </c>
      <c r="H130" t="s">
        <v>767</v>
      </c>
      <c r="I130" t="s">
        <v>768</v>
      </c>
    </row>
    <row r="131" spans="1:9" x14ac:dyDescent="0.35">
      <c r="A131" t="s">
        <v>769</v>
      </c>
      <c r="B131" t="s">
        <v>770</v>
      </c>
      <c r="C131">
        <v>2019</v>
      </c>
      <c r="D131">
        <v>32</v>
      </c>
      <c r="E131" t="s">
        <v>693</v>
      </c>
      <c r="F131" t="s">
        <v>771</v>
      </c>
      <c r="G131" t="s">
        <v>772</v>
      </c>
      <c r="H131" t="s">
        <v>773</v>
      </c>
      <c r="I131" t="s">
        <v>774</v>
      </c>
    </row>
    <row r="132" spans="1:9" x14ac:dyDescent="0.35">
      <c r="A132" t="s">
        <v>775</v>
      </c>
      <c r="B132" t="s">
        <v>776</v>
      </c>
      <c r="C132">
        <v>2020</v>
      </c>
      <c r="D132">
        <v>16</v>
      </c>
      <c r="E132" t="s">
        <v>693</v>
      </c>
      <c r="F132" t="s">
        <v>777</v>
      </c>
      <c r="G132" t="s">
        <v>778</v>
      </c>
      <c r="H132" t="s">
        <v>779</v>
      </c>
      <c r="I132" t="s">
        <v>780</v>
      </c>
    </row>
    <row r="133" spans="1:9" x14ac:dyDescent="0.35">
      <c r="A133" t="s">
        <v>781</v>
      </c>
      <c r="B133" t="s">
        <v>782</v>
      </c>
      <c r="C133">
        <v>2017</v>
      </c>
      <c r="D133">
        <v>16</v>
      </c>
      <c r="E133" t="s">
        <v>693</v>
      </c>
      <c r="F133" t="s">
        <v>783</v>
      </c>
      <c r="G133" t="s">
        <v>784</v>
      </c>
      <c r="H133" t="s">
        <v>785</v>
      </c>
      <c r="I133" t="s">
        <v>786</v>
      </c>
    </row>
    <row r="134" spans="1:9" x14ac:dyDescent="0.35">
      <c r="A134" t="s">
        <v>787</v>
      </c>
      <c r="B134" t="s">
        <v>788</v>
      </c>
      <c r="C134">
        <v>2017</v>
      </c>
      <c r="D134">
        <v>16</v>
      </c>
      <c r="E134" t="s">
        <v>693</v>
      </c>
      <c r="F134" t="s">
        <v>789</v>
      </c>
      <c r="G134" t="s">
        <v>790</v>
      </c>
      <c r="H134" t="s">
        <v>791</v>
      </c>
      <c r="I134" t="s">
        <v>792</v>
      </c>
    </row>
    <row r="135" spans="1:9" x14ac:dyDescent="0.35">
      <c r="A135" t="s">
        <v>793</v>
      </c>
      <c r="B135" t="s">
        <v>794</v>
      </c>
      <c r="C135">
        <v>2021</v>
      </c>
      <c r="D135">
        <v>9</v>
      </c>
      <c r="E135" t="s">
        <v>693</v>
      </c>
      <c r="F135" t="s">
        <v>795</v>
      </c>
      <c r="G135" t="s">
        <v>272</v>
      </c>
      <c r="H135" t="s">
        <v>796</v>
      </c>
      <c r="I135" t="s">
        <v>797</v>
      </c>
    </row>
    <row r="136" spans="1:9" x14ac:dyDescent="0.35">
      <c r="A136" t="s">
        <v>798</v>
      </c>
      <c r="B136" t="s">
        <v>799</v>
      </c>
      <c r="C136">
        <v>2016</v>
      </c>
      <c r="D136">
        <v>16</v>
      </c>
      <c r="E136" t="s">
        <v>693</v>
      </c>
      <c r="F136" t="s">
        <v>800</v>
      </c>
      <c r="G136" t="s">
        <v>801</v>
      </c>
      <c r="H136" t="s">
        <v>802</v>
      </c>
      <c r="I136" t="s">
        <v>803</v>
      </c>
    </row>
    <row r="137" spans="1:9" x14ac:dyDescent="0.35">
      <c r="A137" t="s">
        <v>804</v>
      </c>
      <c r="B137" t="s">
        <v>805</v>
      </c>
      <c r="C137">
        <v>2009</v>
      </c>
      <c r="D137">
        <v>62</v>
      </c>
      <c r="E137" t="s">
        <v>693</v>
      </c>
      <c r="F137" t="s">
        <v>806</v>
      </c>
      <c r="G137" t="s">
        <v>807</v>
      </c>
      <c r="H137" t="s">
        <v>808</v>
      </c>
      <c r="I137" t="s">
        <v>809</v>
      </c>
    </row>
    <row r="138" spans="1:9" x14ac:dyDescent="0.35">
      <c r="A138" t="s">
        <v>810</v>
      </c>
      <c r="B138" t="s">
        <v>811</v>
      </c>
      <c r="C138">
        <v>2021</v>
      </c>
      <c r="D138">
        <v>13</v>
      </c>
      <c r="E138" t="s">
        <v>693</v>
      </c>
      <c r="F138" t="s">
        <v>812</v>
      </c>
      <c r="G138" t="s">
        <v>409</v>
      </c>
      <c r="H138" t="s">
        <v>813</v>
      </c>
      <c r="I138" t="s">
        <v>814</v>
      </c>
    </row>
    <row r="139" spans="1:9" x14ac:dyDescent="0.35">
      <c r="A139" t="s">
        <v>815</v>
      </c>
      <c r="B139" t="s">
        <v>816</v>
      </c>
      <c r="C139">
        <v>2021</v>
      </c>
      <c r="D139">
        <v>16</v>
      </c>
      <c r="E139" t="s">
        <v>693</v>
      </c>
      <c r="F139" t="s">
        <v>817</v>
      </c>
      <c r="G139" t="s">
        <v>818</v>
      </c>
      <c r="H139" t="s">
        <v>819</v>
      </c>
      <c r="I139" t="s">
        <v>820</v>
      </c>
    </row>
    <row r="140" spans="1:9" x14ac:dyDescent="0.35">
      <c r="A140" t="s">
        <v>821</v>
      </c>
      <c r="B140" t="s">
        <v>822</v>
      </c>
      <c r="C140">
        <v>2018</v>
      </c>
      <c r="D140">
        <v>32</v>
      </c>
      <c r="E140" t="s">
        <v>693</v>
      </c>
      <c r="F140" t="s">
        <v>823</v>
      </c>
      <c r="G140" t="s">
        <v>824</v>
      </c>
      <c r="H140" t="s">
        <v>825</v>
      </c>
      <c r="I140" t="s">
        <v>826</v>
      </c>
    </row>
    <row r="141" spans="1:9" x14ac:dyDescent="0.35">
      <c r="A141" t="s">
        <v>827</v>
      </c>
      <c r="B141" t="s">
        <v>828</v>
      </c>
      <c r="C141">
        <v>2019</v>
      </c>
      <c r="D141">
        <v>40</v>
      </c>
      <c r="E141" t="s">
        <v>693</v>
      </c>
      <c r="F141" t="s">
        <v>829</v>
      </c>
      <c r="G141" t="s">
        <v>830</v>
      </c>
      <c r="H141" t="s">
        <v>831</v>
      </c>
      <c r="I141" t="s">
        <v>832</v>
      </c>
    </row>
    <row r="142" spans="1:9" x14ac:dyDescent="0.35">
      <c r="A142" t="s">
        <v>833</v>
      </c>
      <c r="B142" t="s">
        <v>834</v>
      </c>
      <c r="C142">
        <v>2019</v>
      </c>
      <c r="D142">
        <v>16</v>
      </c>
      <c r="E142" t="s">
        <v>693</v>
      </c>
      <c r="F142" t="s">
        <v>835</v>
      </c>
      <c r="G142" t="s">
        <v>836</v>
      </c>
      <c r="H142" t="s">
        <v>837</v>
      </c>
      <c r="I142" t="s">
        <v>838</v>
      </c>
    </row>
    <row r="143" spans="1:9" x14ac:dyDescent="0.35">
      <c r="A143" t="s">
        <v>839</v>
      </c>
      <c r="B143" t="s">
        <v>840</v>
      </c>
      <c r="C143">
        <v>2024</v>
      </c>
      <c r="D143">
        <v>16</v>
      </c>
      <c r="E143" t="s">
        <v>693</v>
      </c>
      <c r="F143" t="s">
        <v>841</v>
      </c>
      <c r="G143" t="s">
        <v>842</v>
      </c>
      <c r="H143" t="s">
        <v>843</v>
      </c>
      <c r="I143" t="s">
        <v>844</v>
      </c>
    </row>
    <row r="144" spans="1:9" x14ac:dyDescent="0.35">
      <c r="A144" t="s">
        <v>845</v>
      </c>
      <c r="B144" t="s">
        <v>846</v>
      </c>
      <c r="C144">
        <v>2020</v>
      </c>
      <c r="D144">
        <v>16</v>
      </c>
      <c r="E144" t="s">
        <v>693</v>
      </c>
      <c r="F144" t="s">
        <v>847</v>
      </c>
      <c r="G144" t="s">
        <v>520</v>
      </c>
      <c r="H144" t="s">
        <v>848</v>
      </c>
      <c r="I144" t="s">
        <v>849</v>
      </c>
    </row>
    <row r="145" spans="1:9" x14ac:dyDescent="0.35">
      <c r="A145" t="s">
        <v>850</v>
      </c>
      <c r="B145" t="s">
        <v>851</v>
      </c>
      <c r="C145">
        <v>2021</v>
      </c>
      <c r="D145">
        <v>16</v>
      </c>
      <c r="E145" t="s">
        <v>693</v>
      </c>
      <c r="F145" t="s">
        <v>852</v>
      </c>
      <c r="G145" t="s">
        <v>853</v>
      </c>
      <c r="H145" t="s">
        <v>854</v>
      </c>
      <c r="I145" t="s">
        <v>855</v>
      </c>
    </row>
    <row r="146" spans="1:9" x14ac:dyDescent="0.35">
      <c r="A146" t="s">
        <v>856</v>
      </c>
      <c r="B146" t="s">
        <v>857</v>
      </c>
      <c r="C146">
        <v>2017</v>
      </c>
      <c r="D146">
        <v>12</v>
      </c>
      <c r="E146" t="s">
        <v>693</v>
      </c>
      <c r="F146" t="s">
        <v>858</v>
      </c>
    </row>
    <row r="147" spans="1:9" x14ac:dyDescent="0.35">
      <c r="A147" t="s">
        <v>859</v>
      </c>
      <c r="B147" t="s">
        <v>860</v>
      </c>
      <c r="C147">
        <v>2017</v>
      </c>
      <c r="D147">
        <v>16</v>
      </c>
      <c r="E147" t="s">
        <v>693</v>
      </c>
      <c r="F147" t="s">
        <v>861</v>
      </c>
      <c r="G147" t="s">
        <v>862</v>
      </c>
      <c r="H147" t="s">
        <v>863</v>
      </c>
      <c r="I147" t="s">
        <v>864</v>
      </c>
    </row>
    <row r="148" spans="1:9" x14ac:dyDescent="0.35">
      <c r="A148" t="s">
        <v>865</v>
      </c>
      <c r="B148" t="s">
        <v>866</v>
      </c>
      <c r="C148">
        <v>2011</v>
      </c>
      <c r="D148">
        <v>24</v>
      </c>
      <c r="E148" t="s">
        <v>693</v>
      </c>
      <c r="F148" t="s">
        <v>867</v>
      </c>
      <c r="G148" t="s">
        <v>868</v>
      </c>
      <c r="H148" t="s">
        <v>869</v>
      </c>
      <c r="I148" t="s">
        <v>870</v>
      </c>
    </row>
    <row r="149" spans="1:9" x14ac:dyDescent="0.35">
      <c r="A149" t="s">
        <v>871</v>
      </c>
      <c r="B149" t="s">
        <v>872</v>
      </c>
      <c r="C149">
        <v>2022</v>
      </c>
      <c r="D149">
        <v>16</v>
      </c>
      <c r="E149" t="s">
        <v>693</v>
      </c>
      <c r="F149" t="s">
        <v>873</v>
      </c>
      <c r="G149" t="s">
        <v>567</v>
      </c>
      <c r="H149" t="s">
        <v>874</v>
      </c>
      <c r="I149" t="s">
        <v>875</v>
      </c>
    </row>
    <row r="150" spans="1:9" x14ac:dyDescent="0.35">
      <c r="A150" t="s">
        <v>876</v>
      </c>
      <c r="B150" t="s">
        <v>877</v>
      </c>
      <c r="C150">
        <v>2013</v>
      </c>
      <c r="D150">
        <v>16</v>
      </c>
      <c r="E150" t="s">
        <v>693</v>
      </c>
      <c r="F150" t="s">
        <v>878</v>
      </c>
      <c r="G150" t="s">
        <v>284</v>
      </c>
      <c r="H150" t="s">
        <v>879</v>
      </c>
      <c r="I150" t="s">
        <v>880</v>
      </c>
    </row>
    <row r="151" spans="1:9" x14ac:dyDescent="0.35">
      <c r="A151" t="s">
        <v>881</v>
      </c>
      <c r="B151" t="s">
        <v>882</v>
      </c>
      <c r="C151">
        <v>2021</v>
      </c>
      <c r="D151">
        <v>12</v>
      </c>
      <c r="E151" t="s">
        <v>693</v>
      </c>
      <c r="F151" t="s">
        <v>883</v>
      </c>
      <c r="G151" t="s">
        <v>884</v>
      </c>
      <c r="H151" t="s">
        <v>885</v>
      </c>
      <c r="I151" t="s">
        <v>886</v>
      </c>
    </row>
    <row r="152" spans="1:9" x14ac:dyDescent="0.35">
      <c r="A152" t="s">
        <v>887</v>
      </c>
      <c r="B152" t="s">
        <v>888</v>
      </c>
      <c r="C152">
        <v>2010</v>
      </c>
      <c r="D152">
        <v>60</v>
      </c>
      <c r="E152" t="s">
        <v>693</v>
      </c>
      <c r="F152" t="s">
        <v>889</v>
      </c>
      <c r="G152" t="s">
        <v>890</v>
      </c>
      <c r="H152" t="s">
        <v>891</v>
      </c>
      <c r="I152" t="s">
        <v>892</v>
      </c>
    </row>
    <row r="153" spans="1:9" x14ac:dyDescent="0.35">
      <c r="A153" t="s">
        <v>893</v>
      </c>
      <c r="B153" t="s">
        <v>894</v>
      </c>
      <c r="C153">
        <v>2022</v>
      </c>
      <c r="D153">
        <v>12</v>
      </c>
      <c r="E153" t="s">
        <v>693</v>
      </c>
      <c r="F153" t="s">
        <v>895</v>
      </c>
      <c r="G153" t="s">
        <v>896</v>
      </c>
      <c r="H153" t="s">
        <v>897</v>
      </c>
      <c r="I153" t="s">
        <v>898</v>
      </c>
    </row>
    <row r="154" spans="1:9" x14ac:dyDescent="0.35">
      <c r="A154" t="s">
        <v>899</v>
      </c>
      <c r="B154" t="s">
        <v>900</v>
      </c>
      <c r="C154">
        <v>2019</v>
      </c>
      <c r="D154">
        <v>32</v>
      </c>
      <c r="E154" t="s">
        <v>693</v>
      </c>
      <c r="F154" t="s">
        <v>901</v>
      </c>
      <c r="G154" t="s">
        <v>725</v>
      </c>
      <c r="H154" t="s">
        <v>902</v>
      </c>
      <c r="I154" t="s">
        <v>903</v>
      </c>
    </row>
    <row r="155" spans="1:9" x14ac:dyDescent="0.35">
      <c r="A155" t="s">
        <v>904</v>
      </c>
      <c r="B155" t="s">
        <v>905</v>
      </c>
      <c r="C155">
        <v>2020</v>
      </c>
      <c r="D155">
        <v>16</v>
      </c>
      <c r="E155" t="s">
        <v>693</v>
      </c>
      <c r="F155" t="s">
        <v>906</v>
      </c>
      <c r="G155" t="s">
        <v>907</v>
      </c>
      <c r="H155" t="s">
        <v>908</v>
      </c>
      <c r="I155" t="s">
        <v>909</v>
      </c>
    </row>
    <row r="156" spans="1:9" x14ac:dyDescent="0.35">
      <c r="A156" t="s">
        <v>910</v>
      </c>
      <c r="B156" t="s">
        <v>911</v>
      </c>
      <c r="C156">
        <v>2024</v>
      </c>
      <c r="D156">
        <v>10</v>
      </c>
      <c r="E156" t="s">
        <v>693</v>
      </c>
      <c r="F156" t="s">
        <v>912</v>
      </c>
      <c r="G156" t="s">
        <v>913</v>
      </c>
      <c r="H156" t="s">
        <v>914</v>
      </c>
      <c r="I156" t="s">
        <v>915</v>
      </c>
    </row>
    <row r="157" spans="1:9" x14ac:dyDescent="0.35">
      <c r="A157" t="s">
        <v>916</v>
      </c>
      <c r="B157" t="s">
        <v>917</v>
      </c>
      <c r="C157">
        <v>2022</v>
      </c>
      <c r="D157">
        <v>12</v>
      </c>
      <c r="E157" t="s">
        <v>693</v>
      </c>
      <c r="F157" t="s">
        <v>918</v>
      </c>
      <c r="G157" t="s">
        <v>919</v>
      </c>
      <c r="H157" t="s">
        <v>920</v>
      </c>
      <c r="I157" t="s">
        <v>921</v>
      </c>
    </row>
    <row r="158" spans="1:9" x14ac:dyDescent="0.35">
      <c r="A158" t="s">
        <v>922</v>
      </c>
      <c r="B158" t="s">
        <v>923</v>
      </c>
      <c r="C158">
        <v>2020</v>
      </c>
      <c r="D158">
        <v>10</v>
      </c>
      <c r="E158" t="s">
        <v>693</v>
      </c>
      <c r="F158" t="s">
        <v>924</v>
      </c>
      <c r="G158" t="s">
        <v>925</v>
      </c>
      <c r="H158" t="s">
        <v>926</v>
      </c>
      <c r="I158" t="s">
        <v>927</v>
      </c>
    </row>
    <row r="159" spans="1:9" x14ac:dyDescent="0.35">
      <c r="A159" t="s">
        <v>928</v>
      </c>
      <c r="B159" t="s">
        <v>929</v>
      </c>
      <c r="C159">
        <v>2021</v>
      </c>
      <c r="D159">
        <v>14</v>
      </c>
      <c r="E159" t="s">
        <v>693</v>
      </c>
      <c r="F159" t="s">
        <v>930</v>
      </c>
      <c r="G159" t="s">
        <v>114</v>
      </c>
      <c r="H159" t="s">
        <v>931</v>
      </c>
      <c r="I159" t="s">
        <v>932</v>
      </c>
    </row>
    <row r="160" spans="1:9" x14ac:dyDescent="0.35">
      <c r="A160" t="s">
        <v>933</v>
      </c>
      <c r="B160" t="s">
        <v>934</v>
      </c>
      <c r="C160">
        <v>2021</v>
      </c>
      <c r="D160">
        <v>16</v>
      </c>
      <c r="E160" t="s">
        <v>935</v>
      </c>
      <c r="F160" t="s">
        <v>936</v>
      </c>
      <c r="G160" t="s">
        <v>937</v>
      </c>
      <c r="H160" t="s">
        <v>938</v>
      </c>
      <c r="I160" t="s">
        <v>939</v>
      </c>
    </row>
    <row r="161" spans="1:9" x14ac:dyDescent="0.35">
      <c r="A161" t="s">
        <v>940</v>
      </c>
      <c r="B161" t="s">
        <v>941</v>
      </c>
      <c r="C161">
        <v>2024</v>
      </c>
      <c r="D161">
        <v>12</v>
      </c>
      <c r="E161" t="s">
        <v>935</v>
      </c>
      <c r="F161" t="s">
        <v>942</v>
      </c>
      <c r="G161" t="s">
        <v>725</v>
      </c>
      <c r="H161" t="s">
        <v>943</v>
      </c>
      <c r="I161" t="s">
        <v>944</v>
      </c>
    </row>
    <row r="162" spans="1:9" x14ac:dyDescent="0.35">
      <c r="A162" t="s">
        <v>945</v>
      </c>
      <c r="B162" t="s">
        <v>946</v>
      </c>
      <c r="C162">
        <v>2012</v>
      </c>
      <c r="D162">
        <v>16</v>
      </c>
      <c r="E162" t="s">
        <v>935</v>
      </c>
      <c r="F162" t="s">
        <v>947</v>
      </c>
      <c r="G162" t="s">
        <v>948</v>
      </c>
      <c r="H162" t="s">
        <v>949</v>
      </c>
      <c r="I162" t="s">
        <v>950</v>
      </c>
    </row>
    <row r="163" spans="1:9" x14ac:dyDescent="0.35">
      <c r="A163" t="s">
        <v>951</v>
      </c>
      <c r="B163" t="s">
        <v>952</v>
      </c>
      <c r="C163">
        <v>2022</v>
      </c>
      <c r="D163">
        <v>12</v>
      </c>
      <c r="E163" t="s">
        <v>935</v>
      </c>
      <c r="F163" t="s">
        <v>953</v>
      </c>
      <c r="G163" t="s">
        <v>954</v>
      </c>
      <c r="H163" t="s">
        <v>955</v>
      </c>
      <c r="I163" t="s">
        <v>956</v>
      </c>
    </row>
    <row r="164" spans="1:9" x14ac:dyDescent="0.35">
      <c r="A164" t="s">
        <v>957</v>
      </c>
      <c r="B164" t="s">
        <v>958</v>
      </c>
      <c r="C164">
        <v>2022</v>
      </c>
      <c r="D164">
        <v>16</v>
      </c>
      <c r="E164" t="s">
        <v>935</v>
      </c>
      <c r="F164" t="s">
        <v>959</v>
      </c>
      <c r="G164" t="s">
        <v>960</v>
      </c>
      <c r="H164" t="s">
        <v>961</v>
      </c>
      <c r="I164" t="s">
        <v>962</v>
      </c>
    </row>
    <row r="165" spans="1:9" x14ac:dyDescent="0.35">
      <c r="A165" t="s">
        <v>963</v>
      </c>
      <c r="B165" t="s">
        <v>964</v>
      </c>
      <c r="C165">
        <v>2017</v>
      </c>
      <c r="D165">
        <v>32</v>
      </c>
      <c r="E165" t="s">
        <v>935</v>
      </c>
      <c r="F165" t="s">
        <v>965</v>
      </c>
      <c r="G165" t="s">
        <v>966</v>
      </c>
      <c r="H165" t="s">
        <v>967</v>
      </c>
      <c r="I165" t="s">
        <v>968</v>
      </c>
    </row>
    <row r="166" spans="1:9" x14ac:dyDescent="0.35">
      <c r="A166" t="s">
        <v>969</v>
      </c>
      <c r="B166" t="s">
        <v>970</v>
      </c>
      <c r="C166">
        <v>2020</v>
      </c>
      <c r="D166">
        <v>16</v>
      </c>
      <c r="E166" t="s">
        <v>935</v>
      </c>
      <c r="F166" t="s">
        <v>971</v>
      </c>
      <c r="G166" t="s">
        <v>26</v>
      </c>
      <c r="H166" t="s">
        <v>972</v>
      </c>
      <c r="I166" t="s">
        <v>973</v>
      </c>
    </row>
    <row r="167" spans="1:9" x14ac:dyDescent="0.35">
      <c r="A167" t="s">
        <v>974</v>
      </c>
      <c r="B167" t="s">
        <v>975</v>
      </c>
      <c r="C167">
        <v>2018</v>
      </c>
      <c r="D167">
        <v>12</v>
      </c>
      <c r="E167" t="s">
        <v>935</v>
      </c>
      <c r="F167" t="s">
        <v>976</v>
      </c>
    </row>
    <row r="168" spans="1:9" x14ac:dyDescent="0.35">
      <c r="A168" t="s">
        <v>977</v>
      </c>
      <c r="B168" t="s">
        <v>978</v>
      </c>
      <c r="C168">
        <v>2021</v>
      </c>
      <c r="D168">
        <v>16</v>
      </c>
      <c r="E168" t="s">
        <v>935</v>
      </c>
      <c r="F168" t="s">
        <v>979</v>
      </c>
      <c r="G168" t="s">
        <v>725</v>
      </c>
      <c r="H168" t="s">
        <v>980</v>
      </c>
      <c r="I168" t="s">
        <v>981</v>
      </c>
    </row>
    <row r="169" spans="1:9" x14ac:dyDescent="0.35">
      <c r="A169" t="s">
        <v>982</v>
      </c>
      <c r="B169" t="s">
        <v>983</v>
      </c>
      <c r="C169">
        <v>2017</v>
      </c>
      <c r="D169">
        <v>16</v>
      </c>
      <c r="E169" t="s">
        <v>935</v>
      </c>
      <c r="F169" t="s">
        <v>984</v>
      </c>
      <c r="G169" t="s">
        <v>985</v>
      </c>
      <c r="H169" t="s">
        <v>986</v>
      </c>
      <c r="I169" t="s">
        <v>987</v>
      </c>
    </row>
    <row r="170" spans="1:9" x14ac:dyDescent="0.35">
      <c r="A170" t="s">
        <v>988</v>
      </c>
      <c r="B170" t="s">
        <v>989</v>
      </c>
      <c r="C170">
        <v>2019</v>
      </c>
      <c r="D170">
        <v>16</v>
      </c>
      <c r="E170" t="s">
        <v>935</v>
      </c>
      <c r="F170" t="s">
        <v>990</v>
      </c>
      <c r="G170" t="s">
        <v>991</v>
      </c>
      <c r="H170" t="s">
        <v>992</v>
      </c>
      <c r="I170" t="s">
        <v>993</v>
      </c>
    </row>
    <row r="171" spans="1:9" x14ac:dyDescent="0.35">
      <c r="A171" t="s">
        <v>994</v>
      </c>
      <c r="B171" t="s">
        <v>995</v>
      </c>
      <c r="C171">
        <v>2022</v>
      </c>
      <c r="D171">
        <v>16</v>
      </c>
      <c r="E171" t="s">
        <v>935</v>
      </c>
      <c r="F171" t="s">
        <v>996</v>
      </c>
      <c r="G171" t="s">
        <v>997</v>
      </c>
      <c r="H171" t="s">
        <v>998</v>
      </c>
      <c r="I171" t="s">
        <v>999</v>
      </c>
    </row>
    <row r="172" spans="1:9" x14ac:dyDescent="0.35">
      <c r="A172" t="s">
        <v>1000</v>
      </c>
      <c r="B172" t="s">
        <v>1001</v>
      </c>
      <c r="C172">
        <v>2015</v>
      </c>
      <c r="D172">
        <v>16</v>
      </c>
      <c r="E172" t="s">
        <v>935</v>
      </c>
      <c r="F172" t="s">
        <v>1002</v>
      </c>
      <c r="G172" t="s">
        <v>1003</v>
      </c>
      <c r="H172" t="s">
        <v>1004</v>
      </c>
      <c r="I172" t="s">
        <v>1005</v>
      </c>
    </row>
    <row r="173" spans="1:9" x14ac:dyDescent="0.35">
      <c r="A173" t="s">
        <v>1006</v>
      </c>
      <c r="B173" t="s">
        <v>1007</v>
      </c>
      <c r="C173">
        <v>2024</v>
      </c>
      <c r="D173">
        <v>6</v>
      </c>
      <c r="E173" t="s">
        <v>693</v>
      </c>
      <c r="F173" t="s">
        <v>1008</v>
      </c>
      <c r="G173" t="s">
        <v>1009</v>
      </c>
      <c r="H173" t="s">
        <v>1010</v>
      </c>
      <c r="I173" t="s">
        <v>1011</v>
      </c>
    </row>
    <row r="174" spans="1:9" x14ac:dyDescent="0.35">
      <c r="A174" t="s">
        <v>1012</v>
      </c>
      <c r="B174" t="s">
        <v>1013</v>
      </c>
      <c r="C174">
        <v>2012</v>
      </c>
      <c r="D174">
        <v>20</v>
      </c>
      <c r="E174" t="s">
        <v>935</v>
      </c>
      <c r="F174" t="s">
        <v>1014</v>
      </c>
      <c r="G174" t="s">
        <v>1015</v>
      </c>
      <c r="H174" t="s">
        <v>1016</v>
      </c>
      <c r="I174" t="s">
        <v>1017</v>
      </c>
    </row>
    <row r="175" spans="1:9" x14ac:dyDescent="0.35">
      <c r="A175" t="s">
        <v>1018</v>
      </c>
      <c r="B175" t="s">
        <v>1019</v>
      </c>
      <c r="C175">
        <v>2020</v>
      </c>
      <c r="D175">
        <v>12</v>
      </c>
      <c r="E175" t="s">
        <v>935</v>
      </c>
      <c r="F175" t="s">
        <v>1020</v>
      </c>
      <c r="G175" t="s">
        <v>985</v>
      </c>
      <c r="H175" t="s">
        <v>1021</v>
      </c>
      <c r="I175" t="s">
        <v>1022</v>
      </c>
    </row>
    <row r="176" spans="1:9" x14ac:dyDescent="0.35">
      <c r="A176" t="s">
        <v>1023</v>
      </c>
      <c r="B176" t="s">
        <v>1024</v>
      </c>
      <c r="C176">
        <v>2022</v>
      </c>
      <c r="D176">
        <v>16</v>
      </c>
      <c r="E176" t="s">
        <v>935</v>
      </c>
      <c r="F176" t="s">
        <v>1025</v>
      </c>
      <c r="G176" t="s">
        <v>409</v>
      </c>
      <c r="H176" t="s">
        <v>1026</v>
      </c>
      <c r="I176" t="s">
        <v>1027</v>
      </c>
    </row>
    <row r="177" spans="1:9" x14ac:dyDescent="0.35">
      <c r="A177" t="s">
        <v>1028</v>
      </c>
      <c r="B177" t="s">
        <v>1029</v>
      </c>
      <c r="C177">
        <v>2019</v>
      </c>
      <c r="D177">
        <v>16</v>
      </c>
      <c r="E177" t="s">
        <v>935</v>
      </c>
      <c r="F177" t="s">
        <v>1030</v>
      </c>
      <c r="G177" t="s">
        <v>1031</v>
      </c>
      <c r="H177" t="s">
        <v>1032</v>
      </c>
      <c r="I177" t="s">
        <v>1033</v>
      </c>
    </row>
    <row r="178" spans="1:9" x14ac:dyDescent="0.35">
      <c r="A178" t="s">
        <v>1034</v>
      </c>
      <c r="B178" t="s">
        <v>1035</v>
      </c>
      <c r="C178">
        <v>2017</v>
      </c>
      <c r="D178">
        <v>16</v>
      </c>
      <c r="E178" t="s">
        <v>935</v>
      </c>
      <c r="F178" t="s">
        <v>1036</v>
      </c>
      <c r="G178" t="s">
        <v>1037</v>
      </c>
      <c r="H178" t="s">
        <v>1038</v>
      </c>
      <c r="I178" t="s">
        <v>1039</v>
      </c>
    </row>
    <row r="179" spans="1:9" x14ac:dyDescent="0.35">
      <c r="A179" t="s">
        <v>1040</v>
      </c>
      <c r="B179" t="s">
        <v>1041</v>
      </c>
      <c r="C179">
        <v>2020</v>
      </c>
      <c r="D179">
        <v>8</v>
      </c>
      <c r="E179" t="s">
        <v>935</v>
      </c>
      <c r="F179" t="s">
        <v>1042</v>
      </c>
      <c r="G179" t="s">
        <v>1043</v>
      </c>
      <c r="H179" t="s">
        <v>1044</v>
      </c>
      <c r="I179" t="s">
        <v>1045</v>
      </c>
    </row>
    <row r="180" spans="1:9" x14ac:dyDescent="0.35">
      <c r="A180" t="s">
        <v>1046</v>
      </c>
      <c r="B180" t="s">
        <v>1047</v>
      </c>
      <c r="C180">
        <v>2013</v>
      </c>
      <c r="D180">
        <v>20</v>
      </c>
      <c r="E180" t="s">
        <v>935</v>
      </c>
      <c r="F180" t="s">
        <v>1048</v>
      </c>
      <c r="G180" t="s">
        <v>1049</v>
      </c>
      <c r="H180" t="s">
        <v>1050</v>
      </c>
      <c r="I180" t="s">
        <v>1051</v>
      </c>
    </row>
    <row r="181" spans="1:9" x14ac:dyDescent="0.35">
      <c r="A181" t="s">
        <v>1052</v>
      </c>
      <c r="B181" t="s">
        <v>1053</v>
      </c>
      <c r="C181">
        <v>2019</v>
      </c>
      <c r="D181">
        <v>32</v>
      </c>
      <c r="E181" t="s">
        <v>935</v>
      </c>
      <c r="F181" t="s">
        <v>1054</v>
      </c>
      <c r="G181" t="s">
        <v>1055</v>
      </c>
      <c r="H181" t="s">
        <v>1056</v>
      </c>
      <c r="I181" t="s">
        <v>1057</v>
      </c>
    </row>
    <row r="182" spans="1:9" x14ac:dyDescent="0.35">
      <c r="A182" t="s">
        <v>1058</v>
      </c>
      <c r="B182" t="s">
        <v>1059</v>
      </c>
      <c r="C182">
        <v>2014</v>
      </c>
      <c r="D182">
        <v>20</v>
      </c>
      <c r="E182" t="s">
        <v>935</v>
      </c>
      <c r="F182" t="s">
        <v>1060</v>
      </c>
    </row>
    <row r="183" spans="1:9" x14ac:dyDescent="0.35">
      <c r="A183" t="s">
        <v>1061</v>
      </c>
      <c r="B183" t="s">
        <v>1062</v>
      </c>
      <c r="C183">
        <v>2019</v>
      </c>
      <c r="D183">
        <v>32</v>
      </c>
      <c r="E183" t="s">
        <v>935</v>
      </c>
      <c r="F183" t="s">
        <v>1063</v>
      </c>
      <c r="G183" t="s">
        <v>1064</v>
      </c>
      <c r="H183" t="s">
        <v>1065</v>
      </c>
      <c r="I183" t="s">
        <v>1066</v>
      </c>
    </row>
    <row r="184" spans="1:9" x14ac:dyDescent="0.35">
      <c r="A184" t="s">
        <v>1067</v>
      </c>
      <c r="B184" t="s">
        <v>1068</v>
      </c>
      <c r="C184">
        <v>2022</v>
      </c>
      <c r="D184">
        <v>16</v>
      </c>
      <c r="E184" t="s">
        <v>935</v>
      </c>
      <c r="F184" t="s">
        <v>1069</v>
      </c>
      <c r="G184" t="s">
        <v>1070</v>
      </c>
      <c r="H184" t="s">
        <v>1071</v>
      </c>
      <c r="I184" t="s">
        <v>1072</v>
      </c>
    </row>
    <row r="185" spans="1:9" x14ac:dyDescent="0.35">
      <c r="A185" t="s">
        <v>1073</v>
      </c>
      <c r="B185" t="s">
        <v>1074</v>
      </c>
      <c r="C185">
        <v>2020</v>
      </c>
      <c r="D185">
        <v>16</v>
      </c>
      <c r="E185" t="s">
        <v>935</v>
      </c>
      <c r="F185" t="s">
        <v>1075</v>
      </c>
      <c r="G185" t="s">
        <v>1076</v>
      </c>
      <c r="H185" t="s">
        <v>1077</v>
      </c>
      <c r="I185" t="s">
        <v>1078</v>
      </c>
    </row>
    <row r="186" spans="1:9" x14ac:dyDescent="0.35">
      <c r="A186" t="s">
        <v>1079</v>
      </c>
      <c r="B186" t="s">
        <v>1080</v>
      </c>
      <c r="C186">
        <v>2019</v>
      </c>
      <c r="D186">
        <v>16</v>
      </c>
      <c r="E186" t="s">
        <v>935</v>
      </c>
      <c r="F186" t="s">
        <v>1081</v>
      </c>
      <c r="G186" t="s">
        <v>991</v>
      </c>
      <c r="H186" t="s">
        <v>1082</v>
      </c>
      <c r="I186" t="s">
        <v>1083</v>
      </c>
    </row>
    <row r="187" spans="1:9" x14ac:dyDescent="0.35">
      <c r="A187" t="s">
        <v>1084</v>
      </c>
      <c r="B187" t="s">
        <v>1085</v>
      </c>
      <c r="C187">
        <v>2017</v>
      </c>
      <c r="D187">
        <v>14</v>
      </c>
      <c r="E187" t="s">
        <v>935</v>
      </c>
      <c r="F187" t="s">
        <v>1086</v>
      </c>
      <c r="G187" t="s">
        <v>1087</v>
      </c>
      <c r="H187" t="s">
        <v>1088</v>
      </c>
      <c r="I187" t="s">
        <v>1089</v>
      </c>
    </row>
    <row r="188" spans="1:9" x14ac:dyDescent="0.35">
      <c r="A188" t="s">
        <v>1090</v>
      </c>
      <c r="B188" t="s">
        <v>1091</v>
      </c>
      <c r="C188">
        <v>2013</v>
      </c>
      <c r="D188">
        <v>16</v>
      </c>
      <c r="E188" t="s">
        <v>935</v>
      </c>
      <c r="F188" t="s">
        <v>1092</v>
      </c>
      <c r="G188" t="s">
        <v>1093</v>
      </c>
      <c r="H188" t="s">
        <v>1094</v>
      </c>
      <c r="I188" t="s">
        <v>1095</v>
      </c>
    </row>
    <row r="189" spans="1:9" x14ac:dyDescent="0.35">
      <c r="A189" t="s">
        <v>1096</v>
      </c>
      <c r="B189" t="s">
        <v>1097</v>
      </c>
      <c r="C189">
        <v>2022</v>
      </c>
      <c r="D189">
        <v>16</v>
      </c>
      <c r="E189" t="s">
        <v>935</v>
      </c>
      <c r="F189" t="s">
        <v>1098</v>
      </c>
      <c r="G189" t="s">
        <v>1099</v>
      </c>
      <c r="H189" t="s">
        <v>1100</v>
      </c>
      <c r="I189" t="s">
        <v>1101</v>
      </c>
    </row>
    <row r="190" spans="1:9" x14ac:dyDescent="0.35">
      <c r="A190" t="s">
        <v>1102</v>
      </c>
      <c r="B190" t="s">
        <v>1103</v>
      </c>
      <c r="C190">
        <v>2022</v>
      </c>
      <c r="D190">
        <v>8</v>
      </c>
      <c r="E190" t="s">
        <v>935</v>
      </c>
      <c r="F190" t="s">
        <v>1104</v>
      </c>
      <c r="G190" t="s">
        <v>1105</v>
      </c>
      <c r="H190" t="s">
        <v>1106</v>
      </c>
      <c r="I190" t="s">
        <v>1107</v>
      </c>
    </row>
    <row r="191" spans="1:9" x14ac:dyDescent="0.35">
      <c r="A191" t="s">
        <v>1108</v>
      </c>
      <c r="B191" t="s">
        <v>1109</v>
      </c>
      <c r="C191">
        <v>2021</v>
      </c>
      <c r="D191">
        <v>16</v>
      </c>
      <c r="E191" t="s">
        <v>935</v>
      </c>
      <c r="F191" t="s">
        <v>1110</v>
      </c>
      <c r="G191" t="s">
        <v>1111</v>
      </c>
      <c r="H191" t="s">
        <v>1112</v>
      </c>
      <c r="I191" t="s">
        <v>1113</v>
      </c>
    </row>
    <row r="192" spans="1:9" x14ac:dyDescent="0.35">
      <c r="A192" t="s">
        <v>1114</v>
      </c>
      <c r="B192" t="s">
        <v>1115</v>
      </c>
      <c r="C192">
        <v>2022</v>
      </c>
      <c r="D192">
        <v>14</v>
      </c>
      <c r="E192" t="s">
        <v>935</v>
      </c>
      <c r="F192" t="s">
        <v>1116</v>
      </c>
      <c r="G192" t="s">
        <v>1117</v>
      </c>
      <c r="H192" t="s">
        <v>1118</v>
      </c>
      <c r="I192" t="s">
        <v>1119</v>
      </c>
    </row>
    <row r="193" spans="1:9" x14ac:dyDescent="0.35">
      <c r="A193" t="s">
        <v>1120</v>
      </c>
      <c r="B193" t="s">
        <v>1121</v>
      </c>
      <c r="C193">
        <v>2019</v>
      </c>
      <c r="D193">
        <v>16</v>
      </c>
      <c r="E193" t="s">
        <v>935</v>
      </c>
      <c r="F193" t="s">
        <v>1122</v>
      </c>
      <c r="G193" t="s">
        <v>1123</v>
      </c>
      <c r="H193" t="s">
        <v>1124</v>
      </c>
      <c r="I193" t="s">
        <v>1125</v>
      </c>
    </row>
    <row r="194" spans="1:9" x14ac:dyDescent="0.35">
      <c r="A194" t="s">
        <v>1126</v>
      </c>
      <c r="B194" t="s">
        <v>1127</v>
      </c>
      <c r="C194">
        <v>2021</v>
      </c>
      <c r="D194">
        <v>16</v>
      </c>
      <c r="E194" t="s">
        <v>935</v>
      </c>
      <c r="F194" t="s">
        <v>1128</v>
      </c>
      <c r="G194" t="s">
        <v>1129</v>
      </c>
      <c r="H194" t="s">
        <v>1130</v>
      </c>
      <c r="I194" t="s">
        <v>1131</v>
      </c>
    </row>
    <row r="195" spans="1:9" x14ac:dyDescent="0.35">
      <c r="A195" t="s">
        <v>1132</v>
      </c>
      <c r="B195" t="s">
        <v>1133</v>
      </c>
      <c r="C195">
        <v>2018</v>
      </c>
      <c r="D195">
        <v>14</v>
      </c>
      <c r="E195" t="s">
        <v>935</v>
      </c>
      <c r="F195" t="s">
        <v>1134</v>
      </c>
      <c r="G195" t="s">
        <v>352</v>
      </c>
      <c r="H195" t="s">
        <v>1135</v>
      </c>
      <c r="I195" t="s">
        <v>1136</v>
      </c>
    </row>
    <row r="196" spans="1:9" x14ac:dyDescent="0.35">
      <c r="A196" t="s">
        <v>1137</v>
      </c>
      <c r="B196" t="s">
        <v>1138</v>
      </c>
      <c r="C196">
        <v>2016</v>
      </c>
      <c r="D196">
        <v>20</v>
      </c>
      <c r="E196" t="s">
        <v>935</v>
      </c>
      <c r="F196" t="s">
        <v>1139</v>
      </c>
      <c r="G196" t="s">
        <v>725</v>
      </c>
      <c r="H196" t="s">
        <v>1140</v>
      </c>
      <c r="I196" t="s">
        <v>1141</v>
      </c>
    </row>
    <row r="197" spans="1:9" x14ac:dyDescent="0.35">
      <c r="A197" t="s">
        <v>1142</v>
      </c>
      <c r="B197" t="s">
        <v>1143</v>
      </c>
      <c r="C197">
        <v>2018</v>
      </c>
      <c r="D197">
        <v>32</v>
      </c>
      <c r="E197" t="s">
        <v>935</v>
      </c>
      <c r="F197" t="s">
        <v>1144</v>
      </c>
      <c r="G197" t="s">
        <v>1145</v>
      </c>
      <c r="H197" t="s">
        <v>1146</v>
      </c>
      <c r="I197" t="s">
        <v>1147</v>
      </c>
    </row>
    <row r="198" spans="1:9" x14ac:dyDescent="0.35">
      <c r="A198" t="s">
        <v>1148</v>
      </c>
      <c r="B198" t="s">
        <v>1149</v>
      </c>
      <c r="C198">
        <v>2018</v>
      </c>
      <c r="D198">
        <v>32</v>
      </c>
      <c r="E198" t="s">
        <v>935</v>
      </c>
      <c r="F198" t="s">
        <v>1150</v>
      </c>
      <c r="G198" t="s">
        <v>1151</v>
      </c>
      <c r="H198" t="s">
        <v>1152</v>
      </c>
      <c r="I198" t="s">
        <v>1153</v>
      </c>
    </row>
    <row r="199" spans="1:9" x14ac:dyDescent="0.35">
      <c r="A199" t="s">
        <v>1154</v>
      </c>
      <c r="B199" t="s">
        <v>1155</v>
      </c>
      <c r="C199">
        <v>2022</v>
      </c>
      <c r="D199">
        <v>16</v>
      </c>
      <c r="E199" t="s">
        <v>935</v>
      </c>
      <c r="F199" t="s">
        <v>1156</v>
      </c>
      <c r="G199" t="s">
        <v>1157</v>
      </c>
      <c r="H199" t="s">
        <v>1158</v>
      </c>
      <c r="I199" t="s">
        <v>1159</v>
      </c>
    </row>
    <row r="200" spans="1:9" x14ac:dyDescent="0.35">
      <c r="A200" t="s">
        <v>1160</v>
      </c>
      <c r="B200" t="s">
        <v>1161</v>
      </c>
      <c r="C200">
        <v>2019</v>
      </c>
      <c r="D200">
        <v>32</v>
      </c>
      <c r="E200" t="s">
        <v>935</v>
      </c>
      <c r="F200" t="s">
        <v>1162</v>
      </c>
      <c r="G200" t="s">
        <v>1163</v>
      </c>
      <c r="H200" t="s">
        <v>1164</v>
      </c>
      <c r="I200" t="s">
        <v>1165</v>
      </c>
    </row>
    <row r="201" spans="1:9" x14ac:dyDescent="0.35">
      <c r="A201" t="s">
        <v>1166</v>
      </c>
      <c r="B201" t="s">
        <v>1167</v>
      </c>
      <c r="C201">
        <v>2019</v>
      </c>
      <c r="D201">
        <v>16</v>
      </c>
      <c r="E201" t="s">
        <v>935</v>
      </c>
      <c r="F201" t="s">
        <v>1168</v>
      </c>
      <c r="G201" t="s">
        <v>1169</v>
      </c>
      <c r="H201" t="s">
        <v>1170</v>
      </c>
      <c r="I201" t="s">
        <v>1171</v>
      </c>
    </row>
    <row r="202" spans="1:9" x14ac:dyDescent="0.35">
      <c r="A202" t="s">
        <v>1172</v>
      </c>
      <c r="B202" t="s">
        <v>1173</v>
      </c>
      <c r="C202">
        <v>2024</v>
      </c>
      <c r="D202">
        <v>12</v>
      </c>
      <c r="E202" t="s">
        <v>935</v>
      </c>
      <c r="F202" t="s">
        <v>1174</v>
      </c>
      <c r="G202" t="s">
        <v>1175</v>
      </c>
      <c r="H202" t="s">
        <v>1176</v>
      </c>
      <c r="I202" t="s">
        <v>1177</v>
      </c>
    </row>
    <row r="203" spans="1:9" x14ac:dyDescent="0.35">
      <c r="A203" t="s">
        <v>1178</v>
      </c>
      <c r="B203" t="s">
        <v>1179</v>
      </c>
      <c r="C203">
        <v>2018</v>
      </c>
      <c r="D203">
        <v>16</v>
      </c>
      <c r="E203" t="s">
        <v>935</v>
      </c>
      <c r="F203" t="s">
        <v>1180</v>
      </c>
    </row>
    <row r="204" spans="1:9" x14ac:dyDescent="0.35">
      <c r="A204" t="s">
        <v>1181</v>
      </c>
      <c r="B204" t="s">
        <v>1182</v>
      </c>
      <c r="C204">
        <v>2020</v>
      </c>
      <c r="D204">
        <v>16</v>
      </c>
      <c r="E204" t="s">
        <v>935</v>
      </c>
      <c r="F204" t="s">
        <v>1183</v>
      </c>
      <c r="G204" t="s">
        <v>1184</v>
      </c>
      <c r="H204" t="s">
        <v>1185</v>
      </c>
      <c r="I204" t="s">
        <v>1186</v>
      </c>
    </row>
    <row r="205" spans="1:9" x14ac:dyDescent="0.35">
      <c r="A205" t="s">
        <v>1187</v>
      </c>
      <c r="B205" t="s">
        <v>1188</v>
      </c>
      <c r="C205">
        <v>2023</v>
      </c>
      <c r="D205">
        <v>10</v>
      </c>
      <c r="E205" t="s">
        <v>935</v>
      </c>
      <c r="F205" t="s">
        <v>1189</v>
      </c>
      <c r="G205" t="s">
        <v>1190</v>
      </c>
      <c r="H205" t="s">
        <v>1191</v>
      </c>
      <c r="I205" t="s">
        <v>1192</v>
      </c>
    </row>
    <row r="206" spans="1:9" x14ac:dyDescent="0.35">
      <c r="A206" t="s">
        <v>1193</v>
      </c>
      <c r="B206" t="s">
        <v>1194</v>
      </c>
      <c r="C206">
        <v>2020</v>
      </c>
      <c r="D206">
        <v>16</v>
      </c>
      <c r="E206" t="s">
        <v>935</v>
      </c>
      <c r="F206" t="s">
        <v>1195</v>
      </c>
      <c r="G206" t="s">
        <v>284</v>
      </c>
      <c r="H206" t="s">
        <v>1196</v>
      </c>
      <c r="I206" t="s">
        <v>1197</v>
      </c>
    </row>
    <row r="207" spans="1:9" x14ac:dyDescent="0.35">
      <c r="A207" t="s">
        <v>1198</v>
      </c>
      <c r="B207" t="s">
        <v>1199</v>
      </c>
      <c r="C207">
        <v>2023</v>
      </c>
      <c r="D207">
        <v>12</v>
      </c>
      <c r="E207" t="s">
        <v>935</v>
      </c>
      <c r="F207" t="s">
        <v>1200</v>
      </c>
      <c r="G207" t="s">
        <v>725</v>
      </c>
      <c r="H207" t="s">
        <v>1201</v>
      </c>
      <c r="I207" t="s">
        <v>1202</v>
      </c>
    </row>
    <row r="208" spans="1:9" x14ac:dyDescent="0.35">
      <c r="A208" t="s">
        <v>1203</v>
      </c>
      <c r="B208" t="s">
        <v>1204</v>
      </c>
      <c r="C208">
        <v>2019</v>
      </c>
      <c r="D208">
        <v>16</v>
      </c>
      <c r="E208" t="s">
        <v>935</v>
      </c>
      <c r="F208" t="s">
        <v>1205</v>
      </c>
      <c r="G208" t="s">
        <v>1206</v>
      </c>
      <c r="H208" t="s">
        <v>1207</v>
      </c>
      <c r="I208" t="s">
        <v>1208</v>
      </c>
    </row>
    <row r="209" spans="1:9" x14ac:dyDescent="0.35">
      <c r="A209" t="s">
        <v>1209</v>
      </c>
      <c r="B209" t="s">
        <v>1210</v>
      </c>
      <c r="C209">
        <v>2019</v>
      </c>
      <c r="D209">
        <v>32</v>
      </c>
      <c r="E209" t="s">
        <v>935</v>
      </c>
      <c r="F209" t="s">
        <v>1211</v>
      </c>
      <c r="G209" t="s">
        <v>386</v>
      </c>
      <c r="H209" t="s">
        <v>1212</v>
      </c>
      <c r="I209" t="s">
        <v>1213</v>
      </c>
    </row>
    <row r="210" spans="1:9" x14ac:dyDescent="0.35">
      <c r="A210" t="s">
        <v>1214</v>
      </c>
      <c r="B210" t="s">
        <v>1215</v>
      </c>
      <c r="C210">
        <v>2022</v>
      </c>
      <c r="D210">
        <v>4</v>
      </c>
      <c r="E210" t="s">
        <v>935</v>
      </c>
      <c r="F210" t="s">
        <v>1216</v>
      </c>
      <c r="G210" t="s">
        <v>1217</v>
      </c>
      <c r="H210" t="s">
        <v>1218</v>
      </c>
      <c r="I210" t="s">
        <v>1219</v>
      </c>
    </row>
    <row r="211" spans="1:9" x14ac:dyDescent="0.35">
      <c r="A211" t="s">
        <v>1220</v>
      </c>
      <c r="B211" t="s">
        <v>1221</v>
      </c>
      <c r="C211">
        <v>2011</v>
      </c>
      <c r="D211">
        <v>20</v>
      </c>
      <c r="E211" t="s">
        <v>935</v>
      </c>
      <c r="F211" t="s">
        <v>1222</v>
      </c>
      <c r="G211" t="s">
        <v>1223</v>
      </c>
      <c r="H211" t="s">
        <v>1224</v>
      </c>
      <c r="I211" t="s">
        <v>1225</v>
      </c>
    </row>
    <row r="212" spans="1:9" x14ac:dyDescent="0.35">
      <c r="A212" t="s">
        <v>1226</v>
      </c>
      <c r="B212" t="s">
        <v>1227</v>
      </c>
      <c r="C212">
        <v>2019</v>
      </c>
      <c r="D212">
        <v>16</v>
      </c>
      <c r="E212" t="s">
        <v>1228</v>
      </c>
      <c r="F212" t="s">
        <v>1229</v>
      </c>
      <c r="G212" t="s">
        <v>1230</v>
      </c>
      <c r="H212" t="s">
        <v>1231</v>
      </c>
      <c r="I212" t="s">
        <v>1232</v>
      </c>
    </row>
    <row r="213" spans="1:9" x14ac:dyDescent="0.35">
      <c r="A213" t="s">
        <v>1233</v>
      </c>
      <c r="B213" t="s">
        <v>1234</v>
      </c>
      <c r="C213">
        <v>2018</v>
      </c>
      <c r="D213">
        <v>16</v>
      </c>
      <c r="E213" t="s">
        <v>1228</v>
      </c>
      <c r="F213" t="s">
        <v>1235</v>
      </c>
      <c r="G213" t="s">
        <v>1236</v>
      </c>
      <c r="H213" t="s">
        <v>1237</v>
      </c>
      <c r="I213" t="s">
        <v>1238</v>
      </c>
    </row>
    <row r="214" spans="1:9" x14ac:dyDescent="0.35">
      <c r="A214" t="s">
        <v>1239</v>
      </c>
      <c r="B214" t="s">
        <v>1240</v>
      </c>
      <c r="C214">
        <v>2021</v>
      </c>
      <c r="D214">
        <v>12</v>
      </c>
      <c r="E214" t="s">
        <v>1228</v>
      </c>
      <c r="F214" t="s">
        <v>1241</v>
      </c>
      <c r="G214" t="s">
        <v>1242</v>
      </c>
      <c r="H214" t="s">
        <v>1243</v>
      </c>
      <c r="I214" t="s">
        <v>1244</v>
      </c>
    </row>
    <row r="215" spans="1:9" x14ac:dyDescent="0.35">
      <c r="A215" t="s">
        <v>1245</v>
      </c>
      <c r="B215" t="s">
        <v>1246</v>
      </c>
      <c r="C215">
        <v>2020</v>
      </c>
      <c r="D215">
        <v>16</v>
      </c>
      <c r="E215" t="s">
        <v>1228</v>
      </c>
      <c r="F215" t="s">
        <v>1247</v>
      </c>
      <c r="G215" t="s">
        <v>1248</v>
      </c>
      <c r="H215" t="s">
        <v>1249</v>
      </c>
      <c r="I215" t="s">
        <v>1250</v>
      </c>
    </row>
    <row r="216" spans="1:9" x14ac:dyDescent="0.35">
      <c r="A216" t="s">
        <v>1251</v>
      </c>
      <c r="B216" t="s">
        <v>1252</v>
      </c>
      <c r="C216">
        <v>2022</v>
      </c>
      <c r="D216">
        <v>6</v>
      </c>
      <c r="E216" t="s">
        <v>1228</v>
      </c>
      <c r="F216" t="s">
        <v>1253</v>
      </c>
    </row>
    <row r="217" spans="1:9" x14ac:dyDescent="0.35">
      <c r="A217" t="s">
        <v>1254</v>
      </c>
      <c r="B217" t="s">
        <v>1255</v>
      </c>
      <c r="C217">
        <v>2021</v>
      </c>
      <c r="D217">
        <v>8</v>
      </c>
      <c r="E217" t="s">
        <v>1228</v>
      </c>
      <c r="F217" t="s">
        <v>1256</v>
      </c>
      <c r="G217" t="s">
        <v>1257</v>
      </c>
      <c r="H217" t="s">
        <v>1258</v>
      </c>
      <c r="I217" t="s">
        <v>1259</v>
      </c>
    </row>
    <row r="218" spans="1:9" x14ac:dyDescent="0.35">
      <c r="A218" t="s">
        <v>1260</v>
      </c>
      <c r="B218" t="s">
        <v>1261</v>
      </c>
      <c r="C218">
        <v>2013</v>
      </c>
      <c r="D218">
        <v>20</v>
      </c>
      <c r="E218" t="s">
        <v>1228</v>
      </c>
      <c r="F218" t="s">
        <v>1262</v>
      </c>
      <c r="G218" t="s">
        <v>960</v>
      </c>
      <c r="H218" t="s">
        <v>1263</v>
      </c>
      <c r="I218" t="s">
        <v>1264</v>
      </c>
    </row>
    <row r="219" spans="1:9" x14ac:dyDescent="0.35">
      <c r="A219" t="s">
        <v>1265</v>
      </c>
      <c r="B219" t="s">
        <v>1266</v>
      </c>
      <c r="C219">
        <v>2021</v>
      </c>
      <c r="D219">
        <v>1</v>
      </c>
      <c r="E219" t="s">
        <v>1228</v>
      </c>
      <c r="F219" t="s">
        <v>1267</v>
      </c>
      <c r="G219" t="s">
        <v>1268</v>
      </c>
      <c r="H219" t="s">
        <v>1269</v>
      </c>
      <c r="I219" t="s">
        <v>1270</v>
      </c>
    </row>
    <row r="220" spans="1:9" x14ac:dyDescent="0.35">
      <c r="A220" t="s">
        <v>1271</v>
      </c>
      <c r="B220" t="s">
        <v>1272</v>
      </c>
      <c r="C220">
        <v>2022</v>
      </c>
      <c r="D220">
        <v>16</v>
      </c>
      <c r="E220" t="s">
        <v>1228</v>
      </c>
      <c r="F220" t="s">
        <v>1273</v>
      </c>
      <c r="G220" t="s">
        <v>319</v>
      </c>
      <c r="H220" t="s">
        <v>1274</v>
      </c>
      <c r="I220" t="s">
        <v>1275</v>
      </c>
    </row>
    <row r="221" spans="1:9" x14ac:dyDescent="0.35">
      <c r="A221" t="s">
        <v>1276</v>
      </c>
      <c r="B221" t="s">
        <v>1277</v>
      </c>
      <c r="C221">
        <v>2020</v>
      </c>
      <c r="D221">
        <v>16</v>
      </c>
      <c r="E221" t="s">
        <v>1228</v>
      </c>
      <c r="F221" t="s">
        <v>1278</v>
      </c>
      <c r="G221" t="s">
        <v>1157</v>
      </c>
      <c r="H221" t="s">
        <v>1279</v>
      </c>
      <c r="I221" t="s">
        <v>1280</v>
      </c>
    </row>
    <row r="222" spans="1:9" x14ac:dyDescent="0.35">
      <c r="A222" t="s">
        <v>1281</v>
      </c>
      <c r="B222" t="s">
        <v>1282</v>
      </c>
      <c r="C222">
        <v>2015</v>
      </c>
      <c r="D222">
        <v>16</v>
      </c>
      <c r="E222" t="s">
        <v>1228</v>
      </c>
      <c r="F222" t="s">
        <v>1283</v>
      </c>
      <c r="G222" t="s">
        <v>1284</v>
      </c>
      <c r="H222" t="s">
        <v>1285</v>
      </c>
      <c r="I222" t="s">
        <v>1286</v>
      </c>
    </row>
    <row r="223" spans="1:9" x14ac:dyDescent="0.35">
      <c r="A223" t="s">
        <v>1287</v>
      </c>
      <c r="B223" t="s">
        <v>1288</v>
      </c>
      <c r="C223">
        <v>2014</v>
      </c>
      <c r="D223">
        <v>16</v>
      </c>
      <c r="E223" t="s">
        <v>1228</v>
      </c>
      <c r="F223" t="s">
        <v>1289</v>
      </c>
      <c r="G223" t="s">
        <v>1290</v>
      </c>
      <c r="H223" t="s">
        <v>1291</v>
      </c>
      <c r="I223" t="s">
        <v>1292</v>
      </c>
    </row>
    <row r="224" spans="1:9" x14ac:dyDescent="0.35">
      <c r="A224" t="s">
        <v>1293</v>
      </c>
      <c r="B224" t="s">
        <v>1294</v>
      </c>
      <c r="C224">
        <v>2016</v>
      </c>
      <c r="D224">
        <v>20</v>
      </c>
      <c r="E224" t="s">
        <v>1228</v>
      </c>
      <c r="F224" t="s">
        <v>1295</v>
      </c>
      <c r="G224" t="s">
        <v>1296</v>
      </c>
      <c r="H224" t="s">
        <v>1297</v>
      </c>
      <c r="I224" t="s">
        <v>1298</v>
      </c>
    </row>
    <row r="225" spans="1:9" x14ac:dyDescent="0.35">
      <c r="A225" t="s">
        <v>1299</v>
      </c>
      <c r="B225" t="s">
        <v>1300</v>
      </c>
      <c r="C225">
        <v>2021</v>
      </c>
      <c r="D225">
        <v>12</v>
      </c>
      <c r="E225" t="s">
        <v>1228</v>
      </c>
      <c r="F225" t="s">
        <v>1301</v>
      </c>
      <c r="G225" t="s">
        <v>1302</v>
      </c>
      <c r="H225" t="s">
        <v>1303</v>
      </c>
      <c r="I225" t="s">
        <v>1304</v>
      </c>
    </row>
    <row r="226" spans="1:9" x14ac:dyDescent="0.35">
      <c r="A226" t="s">
        <v>1305</v>
      </c>
      <c r="B226" t="s">
        <v>1306</v>
      </c>
      <c r="C226">
        <v>2019</v>
      </c>
      <c r="D226">
        <v>16</v>
      </c>
      <c r="E226" t="s">
        <v>1228</v>
      </c>
      <c r="F226" t="s">
        <v>1307</v>
      </c>
      <c r="G226" t="s">
        <v>1308</v>
      </c>
      <c r="H226" t="s">
        <v>1309</v>
      </c>
      <c r="I226" t="s">
        <v>1310</v>
      </c>
    </row>
    <row r="227" spans="1:9" x14ac:dyDescent="0.35">
      <c r="A227" t="s">
        <v>1311</v>
      </c>
      <c r="B227" t="s">
        <v>1312</v>
      </c>
      <c r="C227">
        <v>2013</v>
      </c>
      <c r="D227">
        <v>24</v>
      </c>
      <c r="E227" t="s">
        <v>1228</v>
      </c>
      <c r="F227" t="s">
        <v>1313</v>
      </c>
    </row>
    <row r="228" spans="1:9" x14ac:dyDescent="0.35">
      <c r="A228" t="s">
        <v>1314</v>
      </c>
      <c r="B228" t="s">
        <v>1315</v>
      </c>
      <c r="C228">
        <v>2018</v>
      </c>
      <c r="D228">
        <v>6</v>
      </c>
      <c r="E228" t="s">
        <v>1228</v>
      </c>
      <c r="F228" t="s">
        <v>1316</v>
      </c>
      <c r="G228" t="s">
        <v>1317</v>
      </c>
      <c r="H228" t="s">
        <v>1318</v>
      </c>
      <c r="I228" t="s">
        <v>1319</v>
      </c>
    </row>
    <row r="229" spans="1:9" x14ac:dyDescent="0.35">
      <c r="A229" t="s">
        <v>1320</v>
      </c>
      <c r="B229" t="s">
        <v>1321</v>
      </c>
      <c r="C229">
        <v>2006</v>
      </c>
      <c r="D229">
        <v>81</v>
      </c>
      <c r="E229" t="s">
        <v>1228</v>
      </c>
      <c r="F229" t="s">
        <v>1322</v>
      </c>
      <c r="G229" t="s">
        <v>1323</v>
      </c>
      <c r="H229" t="s">
        <v>1324</v>
      </c>
      <c r="I229" t="s">
        <v>1325</v>
      </c>
    </row>
    <row r="230" spans="1:9" x14ac:dyDescent="0.35">
      <c r="A230" t="s">
        <v>1326</v>
      </c>
      <c r="B230" t="s">
        <v>1327</v>
      </c>
      <c r="C230">
        <v>2012</v>
      </c>
      <c r="D230">
        <v>11</v>
      </c>
      <c r="E230" t="s">
        <v>1228</v>
      </c>
      <c r="F230" t="s">
        <v>1328</v>
      </c>
      <c r="G230" t="s">
        <v>1329</v>
      </c>
      <c r="H230" t="s">
        <v>1330</v>
      </c>
      <c r="I230" t="s">
        <v>1331</v>
      </c>
    </row>
    <row r="231" spans="1:9" x14ac:dyDescent="0.35">
      <c r="A231" t="s">
        <v>1332</v>
      </c>
      <c r="B231" t="s">
        <v>1333</v>
      </c>
      <c r="C231">
        <v>2013</v>
      </c>
      <c r="D231">
        <v>133</v>
      </c>
      <c r="E231" t="s">
        <v>1228</v>
      </c>
      <c r="F231" t="s">
        <v>1334</v>
      </c>
      <c r="G231" t="s">
        <v>1335</v>
      </c>
      <c r="H231" t="s">
        <v>1336</v>
      </c>
      <c r="I231" t="s">
        <v>1337</v>
      </c>
    </row>
    <row r="232" spans="1:9" x14ac:dyDescent="0.35">
      <c r="A232" t="s">
        <v>1338</v>
      </c>
      <c r="B232" t="s">
        <v>1339</v>
      </c>
      <c r="C232">
        <v>2018</v>
      </c>
      <c r="D232">
        <v>16</v>
      </c>
      <c r="E232" t="s">
        <v>1228</v>
      </c>
      <c r="F232" t="s">
        <v>1340</v>
      </c>
      <c r="G232" t="s">
        <v>1145</v>
      </c>
      <c r="H232" t="s">
        <v>1341</v>
      </c>
      <c r="I232" t="s">
        <v>1342</v>
      </c>
    </row>
    <row r="233" spans="1:9" x14ac:dyDescent="0.35">
      <c r="A233" t="s">
        <v>1343</v>
      </c>
      <c r="B233" t="s">
        <v>1344</v>
      </c>
      <c r="C233">
        <v>2019</v>
      </c>
      <c r="D233">
        <v>16</v>
      </c>
      <c r="E233" t="s">
        <v>1228</v>
      </c>
      <c r="F233" t="s">
        <v>1345</v>
      </c>
      <c r="G233" t="s">
        <v>1346</v>
      </c>
      <c r="H233" t="s">
        <v>1347</v>
      </c>
      <c r="I233" t="s">
        <v>1348</v>
      </c>
    </row>
    <row r="234" spans="1:9" x14ac:dyDescent="0.35">
      <c r="A234" t="s">
        <v>1349</v>
      </c>
      <c r="B234" t="s">
        <v>1350</v>
      </c>
      <c r="C234">
        <v>2019</v>
      </c>
      <c r="D234">
        <v>16</v>
      </c>
      <c r="E234" t="s">
        <v>1228</v>
      </c>
      <c r="F234" t="s">
        <v>1351</v>
      </c>
      <c r="G234" t="s">
        <v>573</v>
      </c>
      <c r="H234" t="s">
        <v>1352</v>
      </c>
      <c r="I234" t="s">
        <v>1353</v>
      </c>
    </row>
    <row r="235" spans="1:9" x14ac:dyDescent="0.35">
      <c r="A235" t="s">
        <v>1354</v>
      </c>
      <c r="B235" t="s">
        <v>1355</v>
      </c>
      <c r="C235">
        <v>2022</v>
      </c>
      <c r="D235">
        <v>16</v>
      </c>
      <c r="E235" t="s">
        <v>1228</v>
      </c>
      <c r="F235" t="s">
        <v>1356</v>
      </c>
      <c r="G235" t="s">
        <v>1357</v>
      </c>
      <c r="H235" t="s">
        <v>1358</v>
      </c>
      <c r="I235" t="s">
        <v>1359</v>
      </c>
    </row>
    <row r="236" spans="1:9" x14ac:dyDescent="0.35">
      <c r="A236" t="s">
        <v>1360</v>
      </c>
      <c r="B236" t="s">
        <v>1361</v>
      </c>
      <c r="C236">
        <v>2022</v>
      </c>
      <c r="D236">
        <v>6</v>
      </c>
      <c r="E236" t="s">
        <v>1228</v>
      </c>
      <c r="F236" t="s">
        <v>1362</v>
      </c>
      <c r="G236" t="s">
        <v>1302</v>
      </c>
      <c r="H236" t="s">
        <v>1363</v>
      </c>
      <c r="I236" t="s">
        <v>1364</v>
      </c>
    </row>
    <row r="237" spans="1:9" x14ac:dyDescent="0.35">
      <c r="A237" t="s">
        <v>1365</v>
      </c>
      <c r="B237" t="s">
        <v>1366</v>
      </c>
      <c r="C237">
        <v>2018</v>
      </c>
      <c r="D237">
        <v>36</v>
      </c>
      <c r="E237" t="s">
        <v>1228</v>
      </c>
      <c r="F237" t="s">
        <v>1367</v>
      </c>
      <c r="G237" t="s">
        <v>1368</v>
      </c>
      <c r="H237" t="s">
        <v>1369</v>
      </c>
      <c r="I237" t="s">
        <v>1370</v>
      </c>
    </row>
    <row r="238" spans="1:9" x14ac:dyDescent="0.35">
      <c r="A238" t="s">
        <v>1371</v>
      </c>
      <c r="B238" t="s">
        <v>1372</v>
      </c>
      <c r="C238">
        <v>2020</v>
      </c>
      <c r="D238">
        <v>16</v>
      </c>
      <c r="E238" t="s">
        <v>1228</v>
      </c>
      <c r="F238" t="s">
        <v>1373</v>
      </c>
      <c r="G238" t="s">
        <v>1374</v>
      </c>
      <c r="H238" t="s">
        <v>1375</v>
      </c>
      <c r="I238" t="s">
        <v>1376</v>
      </c>
    </row>
    <row r="239" spans="1:9" x14ac:dyDescent="0.35">
      <c r="A239" t="s">
        <v>1377</v>
      </c>
      <c r="B239" t="s">
        <v>1378</v>
      </c>
      <c r="C239">
        <v>2018</v>
      </c>
      <c r="D239">
        <v>16</v>
      </c>
      <c r="E239" t="s">
        <v>1228</v>
      </c>
      <c r="F239" t="s">
        <v>1379</v>
      </c>
      <c r="G239" t="s">
        <v>1380</v>
      </c>
      <c r="H239" t="s">
        <v>1381</v>
      </c>
      <c r="I239" t="s">
        <v>1382</v>
      </c>
    </row>
    <row r="240" spans="1:9" x14ac:dyDescent="0.35">
      <c r="A240" t="s">
        <v>1383</v>
      </c>
      <c r="B240" t="s">
        <v>1384</v>
      </c>
      <c r="C240">
        <v>2020</v>
      </c>
      <c r="D240">
        <v>12</v>
      </c>
      <c r="E240" t="s">
        <v>1228</v>
      </c>
      <c r="F240" t="s">
        <v>1385</v>
      </c>
      <c r="G240" t="s">
        <v>1386</v>
      </c>
      <c r="H240" t="s">
        <v>1387</v>
      </c>
      <c r="I240" t="s">
        <v>1388</v>
      </c>
    </row>
    <row r="241" spans="1:9" x14ac:dyDescent="0.35">
      <c r="A241" t="s">
        <v>1389</v>
      </c>
      <c r="B241" t="s">
        <v>1390</v>
      </c>
      <c r="C241">
        <v>2017</v>
      </c>
      <c r="D241">
        <v>32</v>
      </c>
      <c r="E241" t="s">
        <v>1228</v>
      </c>
      <c r="F241" t="s">
        <v>1391</v>
      </c>
      <c r="G241" t="s">
        <v>1392</v>
      </c>
      <c r="H241" t="s">
        <v>1393</v>
      </c>
      <c r="I241" t="s">
        <v>1394</v>
      </c>
    </row>
    <row r="242" spans="1:9" x14ac:dyDescent="0.35">
      <c r="A242" t="s">
        <v>1395</v>
      </c>
      <c r="B242" t="s">
        <v>1396</v>
      </c>
      <c r="C242">
        <v>2018</v>
      </c>
      <c r="D242">
        <v>32</v>
      </c>
      <c r="E242" t="s">
        <v>1228</v>
      </c>
      <c r="F242" t="s">
        <v>1397</v>
      </c>
      <c r="G242" t="s">
        <v>1398</v>
      </c>
      <c r="H242" t="s">
        <v>1399</v>
      </c>
      <c r="I242" t="s">
        <v>1400</v>
      </c>
    </row>
    <row r="243" spans="1:9" x14ac:dyDescent="0.35">
      <c r="A243" t="s">
        <v>1401</v>
      </c>
      <c r="B243" t="s">
        <v>1402</v>
      </c>
      <c r="C243">
        <v>2020</v>
      </c>
      <c r="D243">
        <v>16</v>
      </c>
      <c r="E243" t="s">
        <v>1228</v>
      </c>
      <c r="F243" t="s">
        <v>1403</v>
      </c>
      <c r="G243" t="s">
        <v>1404</v>
      </c>
      <c r="H243" t="s">
        <v>1405</v>
      </c>
      <c r="I243" t="s">
        <v>1406</v>
      </c>
    </row>
    <row r="244" spans="1:9" x14ac:dyDescent="0.35">
      <c r="A244" t="s">
        <v>1407</v>
      </c>
      <c r="B244" t="s">
        <v>1408</v>
      </c>
      <c r="C244">
        <v>2019</v>
      </c>
      <c r="D244">
        <v>16</v>
      </c>
      <c r="E244" t="s">
        <v>1228</v>
      </c>
      <c r="F244" t="s">
        <v>1409</v>
      </c>
      <c r="G244" t="s">
        <v>1410</v>
      </c>
      <c r="H244" t="s">
        <v>1411</v>
      </c>
      <c r="I244" t="s">
        <v>1412</v>
      </c>
    </row>
    <row r="245" spans="1:9" x14ac:dyDescent="0.35">
      <c r="A245" t="s">
        <v>1413</v>
      </c>
      <c r="B245" t="s">
        <v>1414</v>
      </c>
      <c r="C245">
        <v>2015</v>
      </c>
      <c r="D245">
        <v>16</v>
      </c>
      <c r="E245" t="s">
        <v>1228</v>
      </c>
      <c r="F245" t="s">
        <v>1415</v>
      </c>
      <c r="G245" t="s">
        <v>1416</v>
      </c>
      <c r="H245" t="s">
        <v>1417</v>
      </c>
      <c r="I245" t="s">
        <v>1418</v>
      </c>
    </row>
    <row r="246" spans="1:9" x14ac:dyDescent="0.35">
      <c r="A246" t="s">
        <v>1419</v>
      </c>
      <c r="B246" t="s">
        <v>1420</v>
      </c>
      <c r="C246">
        <v>2019</v>
      </c>
      <c r="D246">
        <v>32</v>
      </c>
      <c r="E246" t="s">
        <v>1228</v>
      </c>
      <c r="F246" t="s">
        <v>1421</v>
      </c>
      <c r="G246" t="s">
        <v>1422</v>
      </c>
      <c r="H246" t="s">
        <v>1423</v>
      </c>
      <c r="I246" t="s">
        <v>1424</v>
      </c>
    </row>
    <row r="247" spans="1:9" x14ac:dyDescent="0.35">
      <c r="A247" t="s">
        <v>1425</v>
      </c>
      <c r="B247" t="s">
        <v>1426</v>
      </c>
      <c r="C247">
        <v>2017</v>
      </c>
      <c r="D247">
        <v>40</v>
      </c>
      <c r="E247" t="s">
        <v>1228</v>
      </c>
      <c r="F247" t="s">
        <v>1427</v>
      </c>
      <c r="G247" t="s">
        <v>1428</v>
      </c>
      <c r="H247" t="s">
        <v>1429</v>
      </c>
      <c r="I247" t="s">
        <v>1430</v>
      </c>
    </row>
    <row r="248" spans="1:9" x14ac:dyDescent="0.35">
      <c r="A248" t="s">
        <v>1431</v>
      </c>
      <c r="B248" t="s">
        <v>1432</v>
      </c>
      <c r="C248">
        <v>2021</v>
      </c>
      <c r="D248">
        <v>16</v>
      </c>
      <c r="E248" t="s">
        <v>1228</v>
      </c>
      <c r="F248" t="s">
        <v>1433</v>
      </c>
      <c r="G248" t="s">
        <v>567</v>
      </c>
      <c r="H248" t="s">
        <v>1434</v>
      </c>
      <c r="I248" t="s">
        <v>1435</v>
      </c>
    </row>
    <row r="249" spans="1:9" x14ac:dyDescent="0.35">
      <c r="A249" t="s">
        <v>1436</v>
      </c>
      <c r="B249" t="s">
        <v>1437</v>
      </c>
      <c r="C249">
        <v>2020</v>
      </c>
      <c r="D249">
        <v>16</v>
      </c>
      <c r="E249" t="s">
        <v>1228</v>
      </c>
      <c r="F249" t="s">
        <v>1438</v>
      </c>
    </row>
    <row r="250" spans="1:9" x14ac:dyDescent="0.35">
      <c r="A250" t="s">
        <v>1439</v>
      </c>
      <c r="B250" t="s">
        <v>1440</v>
      </c>
      <c r="C250">
        <v>2018</v>
      </c>
      <c r="D250">
        <v>16</v>
      </c>
      <c r="E250" t="s">
        <v>1228</v>
      </c>
      <c r="F250" t="s">
        <v>1441</v>
      </c>
      <c r="G250" t="s">
        <v>1442</v>
      </c>
      <c r="H250" t="s">
        <v>1443</v>
      </c>
      <c r="I250" t="s">
        <v>1444</v>
      </c>
    </row>
    <row r="251" spans="1:9" x14ac:dyDescent="0.35">
      <c r="A251" t="s">
        <v>1445</v>
      </c>
      <c r="B251" t="s">
        <v>1446</v>
      </c>
      <c r="C251">
        <v>2022</v>
      </c>
      <c r="D251">
        <v>16</v>
      </c>
      <c r="E251" t="s">
        <v>1228</v>
      </c>
      <c r="F251" t="s">
        <v>1447</v>
      </c>
      <c r="G251" t="s">
        <v>409</v>
      </c>
      <c r="H251" t="s">
        <v>1448</v>
      </c>
      <c r="I251" t="s">
        <v>1449</v>
      </c>
    </row>
    <row r="252" spans="1:9" x14ac:dyDescent="0.35">
      <c r="A252" t="s">
        <v>1450</v>
      </c>
      <c r="B252" t="s">
        <v>1451</v>
      </c>
      <c r="C252">
        <v>2025</v>
      </c>
      <c r="D252">
        <v>16</v>
      </c>
      <c r="E252" t="s">
        <v>1228</v>
      </c>
      <c r="F252" t="s">
        <v>1452</v>
      </c>
      <c r="G252" t="s">
        <v>1453</v>
      </c>
      <c r="H252" t="s">
        <v>1454</v>
      </c>
      <c r="I252" t="s">
        <v>1455</v>
      </c>
    </row>
    <row r="253" spans="1:9" x14ac:dyDescent="0.35">
      <c r="A253" t="s">
        <v>1456</v>
      </c>
      <c r="B253" t="s">
        <v>1457</v>
      </c>
      <c r="C253">
        <v>2019</v>
      </c>
      <c r="D253">
        <v>16</v>
      </c>
      <c r="E253" t="s">
        <v>1228</v>
      </c>
      <c r="F253" t="s">
        <v>1458</v>
      </c>
      <c r="G253" t="s">
        <v>1459</v>
      </c>
      <c r="H253" t="s">
        <v>1460</v>
      </c>
      <c r="I253" t="s">
        <v>1461</v>
      </c>
    </row>
    <row r="254" spans="1:9" x14ac:dyDescent="0.35">
      <c r="A254" t="s">
        <v>1462</v>
      </c>
      <c r="B254" t="s">
        <v>1463</v>
      </c>
      <c r="C254">
        <v>2016</v>
      </c>
      <c r="D254">
        <v>54</v>
      </c>
      <c r="E254" t="s">
        <v>1228</v>
      </c>
      <c r="F254" t="s">
        <v>1464</v>
      </c>
      <c r="G254" t="s">
        <v>1465</v>
      </c>
      <c r="H254" t="s">
        <v>1466</v>
      </c>
      <c r="I254" t="s">
        <v>1467</v>
      </c>
    </row>
    <row r="255" spans="1:9" x14ac:dyDescent="0.35">
      <c r="A255" t="s">
        <v>1468</v>
      </c>
      <c r="B255" t="s">
        <v>1469</v>
      </c>
      <c r="C255">
        <v>2020</v>
      </c>
      <c r="D255">
        <v>10</v>
      </c>
      <c r="E255" t="s">
        <v>1228</v>
      </c>
      <c r="F255" t="s">
        <v>1470</v>
      </c>
      <c r="G255" t="s">
        <v>1471</v>
      </c>
      <c r="H255" t="s">
        <v>1472</v>
      </c>
      <c r="I255" t="s">
        <v>1473</v>
      </c>
    </row>
    <row r="256" spans="1:9" x14ac:dyDescent="0.35">
      <c r="A256" t="s">
        <v>1474</v>
      </c>
      <c r="B256" t="s">
        <v>1475</v>
      </c>
      <c r="C256">
        <v>2021</v>
      </c>
      <c r="D256">
        <v>16</v>
      </c>
      <c r="E256" t="s">
        <v>1228</v>
      </c>
      <c r="F256" t="s">
        <v>1476</v>
      </c>
      <c r="G256" t="s">
        <v>1477</v>
      </c>
      <c r="H256" t="s">
        <v>1478</v>
      </c>
      <c r="I256" t="s">
        <v>1479</v>
      </c>
    </row>
    <row r="257" spans="1:9" x14ac:dyDescent="0.35">
      <c r="A257" t="s">
        <v>1480</v>
      </c>
      <c r="B257" t="s">
        <v>1481</v>
      </c>
      <c r="C257">
        <v>2021</v>
      </c>
      <c r="D257">
        <v>16</v>
      </c>
      <c r="E257" t="s">
        <v>1228</v>
      </c>
      <c r="F257" t="s">
        <v>1482</v>
      </c>
      <c r="G257" t="s">
        <v>1483</v>
      </c>
      <c r="H257" t="s">
        <v>1484</v>
      </c>
      <c r="I257" t="s">
        <v>1485</v>
      </c>
    </row>
    <row r="258" spans="1:9" x14ac:dyDescent="0.35">
      <c r="A258" t="s">
        <v>1486</v>
      </c>
      <c r="B258" t="s">
        <v>1487</v>
      </c>
      <c r="C258">
        <v>2014</v>
      </c>
      <c r="D258">
        <v>12</v>
      </c>
      <c r="E258" t="s">
        <v>1228</v>
      </c>
      <c r="F258" t="s">
        <v>1488</v>
      </c>
      <c r="G258" t="s">
        <v>1003</v>
      </c>
      <c r="H258" t="s">
        <v>1489</v>
      </c>
      <c r="I258" t="s">
        <v>1490</v>
      </c>
    </row>
    <row r="259" spans="1:9" x14ac:dyDescent="0.35">
      <c r="A259" t="s">
        <v>1491</v>
      </c>
      <c r="B259" t="s">
        <v>1492</v>
      </c>
      <c r="C259">
        <v>2011</v>
      </c>
      <c r="D259">
        <v>24</v>
      </c>
      <c r="E259" t="s">
        <v>1228</v>
      </c>
      <c r="F259" t="s">
        <v>1493</v>
      </c>
      <c r="G259" t="s">
        <v>1494</v>
      </c>
      <c r="H259" t="s">
        <v>1495</v>
      </c>
      <c r="I259" t="s">
        <v>1496</v>
      </c>
    </row>
    <row r="260" spans="1:9" x14ac:dyDescent="0.35">
      <c r="A260" t="s">
        <v>1497</v>
      </c>
      <c r="B260" t="s">
        <v>1498</v>
      </c>
      <c r="C260">
        <v>2011</v>
      </c>
      <c r="D260">
        <v>20</v>
      </c>
      <c r="E260" t="s">
        <v>1228</v>
      </c>
      <c r="F260" t="s">
        <v>1499</v>
      </c>
      <c r="G260" t="s">
        <v>778</v>
      </c>
      <c r="H260" t="s">
        <v>1500</v>
      </c>
      <c r="I260" t="s">
        <v>1501</v>
      </c>
    </row>
    <row r="261" spans="1:9" x14ac:dyDescent="0.35">
      <c r="A261" t="s">
        <v>1502</v>
      </c>
      <c r="B261" t="s">
        <v>1503</v>
      </c>
      <c r="C261">
        <v>2015</v>
      </c>
      <c r="D261">
        <v>20</v>
      </c>
      <c r="E261" t="s">
        <v>1228</v>
      </c>
      <c r="F261" t="s">
        <v>1504</v>
      </c>
      <c r="G261" t="s">
        <v>1505</v>
      </c>
      <c r="H261" t="s">
        <v>1506</v>
      </c>
      <c r="I261" t="s">
        <v>1507</v>
      </c>
    </row>
    <row r="262" spans="1:9" x14ac:dyDescent="0.35">
      <c r="A262" t="s">
        <v>1508</v>
      </c>
      <c r="B262" t="s">
        <v>1509</v>
      </c>
      <c r="C262">
        <v>2020</v>
      </c>
      <c r="D262">
        <v>16</v>
      </c>
      <c r="E262" t="s">
        <v>1228</v>
      </c>
      <c r="F262" t="s">
        <v>1510</v>
      </c>
      <c r="G262" t="s">
        <v>1511</v>
      </c>
      <c r="H262" t="s">
        <v>1512</v>
      </c>
      <c r="I262" t="s">
        <v>1513</v>
      </c>
    </row>
    <row r="263" spans="1:9" x14ac:dyDescent="0.35">
      <c r="A263" t="s">
        <v>1514</v>
      </c>
      <c r="B263" t="s">
        <v>1515</v>
      </c>
      <c r="C263">
        <v>2015</v>
      </c>
      <c r="D263">
        <v>16</v>
      </c>
      <c r="E263" t="s">
        <v>1228</v>
      </c>
      <c r="F263" t="s">
        <v>1516</v>
      </c>
      <c r="G263" t="s">
        <v>1517</v>
      </c>
      <c r="H263" t="s">
        <v>1518</v>
      </c>
      <c r="I263" t="s">
        <v>1519</v>
      </c>
    </row>
    <row r="264" spans="1:9" x14ac:dyDescent="0.35">
      <c r="A264" t="s">
        <v>1520</v>
      </c>
      <c r="B264" t="s">
        <v>1521</v>
      </c>
      <c r="C264">
        <v>2019</v>
      </c>
      <c r="D264">
        <v>16</v>
      </c>
      <c r="E264" t="s">
        <v>1228</v>
      </c>
      <c r="F264" t="s">
        <v>1522</v>
      </c>
      <c r="G264" t="s">
        <v>1523</v>
      </c>
      <c r="H264" t="s">
        <v>1524</v>
      </c>
      <c r="I264" t="s">
        <v>1525</v>
      </c>
    </row>
    <row r="265" spans="1:9" x14ac:dyDescent="0.35">
      <c r="A265" t="s">
        <v>1526</v>
      </c>
      <c r="B265" t="s">
        <v>1527</v>
      </c>
      <c r="C265">
        <v>2021</v>
      </c>
      <c r="D265">
        <v>20</v>
      </c>
      <c r="E265" t="s">
        <v>1228</v>
      </c>
      <c r="F265" t="s">
        <v>1528</v>
      </c>
      <c r="G265" t="s">
        <v>1529</v>
      </c>
      <c r="H265" t="s">
        <v>1530</v>
      </c>
      <c r="I265" t="s">
        <v>1531</v>
      </c>
    </row>
    <row r="266" spans="1:9" x14ac:dyDescent="0.35">
      <c r="A266" t="s">
        <v>1532</v>
      </c>
      <c r="B266" t="s">
        <v>1533</v>
      </c>
      <c r="C266">
        <v>2012</v>
      </c>
      <c r="D266">
        <v>20</v>
      </c>
      <c r="E266" t="s">
        <v>1228</v>
      </c>
      <c r="F266" t="s">
        <v>1534</v>
      </c>
      <c r="G266" t="s">
        <v>1465</v>
      </c>
      <c r="H266" t="s">
        <v>1535</v>
      </c>
      <c r="I266" t="s">
        <v>1536</v>
      </c>
    </row>
    <row r="267" spans="1:9" x14ac:dyDescent="0.35">
      <c r="A267" t="s">
        <v>1537</v>
      </c>
      <c r="B267" t="s">
        <v>1538</v>
      </c>
      <c r="C267">
        <v>2019</v>
      </c>
      <c r="D267">
        <v>40</v>
      </c>
      <c r="E267" t="s">
        <v>1228</v>
      </c>
      <c r="F267" t="s">
        <v>1539</v>
      </c>
      <c r="G267" t="s">
        <v>1236</v>
      </c>
      <c r="H267" t="s">
        <v>1540</v>
      </c>
      <c r="I267" t="s">
        <v>1541</v>
      </c>
    </row>
    <row r="268" spans="1:9" x14ac:dyDescent="0.35">
      <c r="A268" t="s">
        <v>1542</v>
      </c>
      <c r="B268" t="s">
        <v>1543</v>
      </c>
      <c r="C268">
        <v>2007</v>
      </c>
      <c r="D268">
        <v>17</v>
      </c>
      <c r="E268" t="s">
        <v>1228</v>
      </c>
      <c r="F268" t="s">
        <v>1544</v>
      </c>
      <c r="G268" t="s">
        <v>1545</v>
      </c>
      <c r="H268" t="s">
        <v>1546</v>
      </c>
      <c r="I268" t="s">
        <v>1547</v>
      </c>
    </row>
    <row r="269" spans="1:9" x14ac:dyDescent="0.35">
      <c r="A269" t="s">
        <v>1548</v>
      </c>
      <c r="B269" t="s">
        <v>1549</v>
      </c>
      <c r="C269">
        <v>2012</v>
      </c>
      <c r="D269">
        <v>20</v>
      </c>
      <c r="E269" t="s">
        <v>1228</v>
      </c>
      <c r="F269" t="s">
        <v>1550</v>
      </c>
      <c r="G269" t="s">
        <v>1551</v>
      </c>
      <c r="H269" t="s">
        <v>1552</v>
      </c>
      <c r="I269" t="s">
        <v>1553</v>
      </c>
    </row>
    <row r="270" spans="1:9" x14ac:dyDescent="0.35">
      <c r="A270" t="s">
        <v>1554</v>
      </c>
      <c r="B270" t="s">
        <v>1555</v>
      </c>
      <c r="C270">
        <v>2019</v>
      </c>
      <c r="D270">
        <v>16</v>
      </c>
      <c r="E270" t="s">
        <v>1228</v>
      </c>
      <c r="F270" t="s">
        <v>1556</v>
      </c>
      <c r="G270" t="s">
        <v>1557</v>
      </c>
      <c r="H270" t="s">
        <v>1558</v>
      </c>
      <c r="I270" t="s">
        <v>1559</v>
      </c>
    </row>
    <row r="271" spans="1:9" x14ac:dyDescent="0.35">
      <c r="A271" t="s">
        <v>1560</v>
      </c>
      <c r="B271" t="s">
        <v>1561</v>
      </c>
      <c r="C271">
        <v>2018</v>
      </c>
      <c r="D271">
        <v>16</v>
      </c>
      <c r="E271" t="s">
        <v>1228</v>
      </c>
      <c r="F271" t="s">
        <v>1562</v>
      </c>
      <c r="G271" t="s">
        <v>1563</v>
      </c>
      <c r="H271" t="s">
        <v>1564</v>
      </c>
      <c r="I271" t="s">
        <v>1565</v>
      </c>
    </row>
    <row r="272" spans="1:9" x14ac:dyDescent="0.35">
      <c r="A272" t="s">
        <v>1566</v>
      </c>
      <c r="B272" t="s">
        <v>1567</v>
      </c>
      <c r="C272">
        <v>2025</v>
      </c>
      <c r="D272">
        <v>12</v>
      </c>
      <c r="E272" t="s">
        <v>1228</v>
      </c>
      <c r="F272" t="s">
        <v>1568</v>
      </c>
      <c r="G272" t="s">
        <v>1569</v>
      </c>
      <c r="H272" t="s">
        <v>1570</v>
      </c>
      <c r="I272" t="s">
        <v>1571</v>
      </c>
    </row>
    <row r="273" spans="1:9" x14ac:dyDescent="0.35">
      <c r="A273" t="s">
        <v>1572</v>
      </c>
      <c r="B273" t="s">
        <v>1573</v>
      </c>
      <c r="C273">
        <v>2015</v>
      </c>
      <c r="D273">
        <v>10</v>
      </c>
      <c r="E273" t="s">
        <v>1228</v>
      </c>
      <c r="F273" t="s">
        <v>1574</v>
      </c>
      <c r="G273" t="s">
        <v>567</v>
      </c>
      <c r="H273" t="s">
        <v>1575</v>
      </c>
      <c r="I273" t="s">
        <v>1576</v>
      </c>
    </row>
    <row r="274" spans="1:9" x14ac:dyDescent="0.35">
      <c r="A274" t="s">
        <v>1577</v>
      </c>
      <c r="B274" t="s">
        <v>1578</v>
      </c>
      <c r="C274">
        <v>2017</v>
      </c>
      <c r="D274">
        <v>16</v>
      </c>
      <c r="E274" t="s">
        <v>1228</v>
      </c>
      <c r="F274" t="s">
        <v>1579</v>
      </c>
      <c r="G274" t="s">
        <v>1580</v>
      </c>
      <c r="H274" t="s">
        <v>1581</v>
      </c>
      <c r="I274" t="s">
        <v>1582</v>
      </c>
    </row>
    <row r="275" spans="1:9" x14ac:dyDescent="0.35">
      <c r="A275" t="s">
        <v>1583</v>
      </c>
      <c r="B275" t="s">
        <v>1584</v>
      </c>
      <c r="C275">
        <v>2017</v>
      </c>
      <c r="D275">
        <v>20</v>
      </c>
      <c r="E275" t="s">
        <v>1228</v>
      </c>
      <c r="F275" t="s">
        <v>1585</v>
      </c>
      <c r="G275" t="s">
        <v>1031</v>
      </c>
      <c r="H275" t="s">
        <v>1586</v>
      </c>
      <c r="I275" t="s">
        <v>1587</v>
      </c>
    </row>
    <row r="276" spans="1:9" x14ac:dyDescent="0.35">
      <c r="A276" t="s">
        <v>1588</v>
      </c>
      <c r="B276" t="s">
        <v>1589</v>
      </c>
      <c r="C276">
        <v>2016</v>
      </c>
      <c r="D276">
        <v>16</v>
      </c>
      <c r="E276" t="s">
        <v>1228</v>
      </c>
      <c r="F276" t="s">
        <v>1590</v>
      </c>
      <c r="G276" t="s">
        <v>1591</v>
      </c>
      <c r="H276" t="s">
        <v>1592</v>
      </c>
      <c r="I276" t="s">
        <v>1593</v>
      </c>
    </row>
    <row r="277" spans="1:9" x14ac:dyDescent="0.35">
      <c r="A277" t="s">
        <v>1594</v>
      </c>
      <c r="B277" t="s">
        <v>1595</v>
      </c>
      <c r="C277">
        <v>2017</v>
      </c>
      <c r="D277">
        <v>20</v>
      </c>
      <c r="E277" t="s">
        <v>1228</v>
      </c>
      <c r="F277" t="s">
        <v>1596</v>
      </c>
      <c r="G277" t="s">
        <v>1597</v>
      </c>
      <c r="H277" t="s">
        <v>1598</v>
      </c>
      <c r="I277" t="s">
        <v>1599</v>
      </c>
    </row>
    <row r="278" spans="1:9" x14ac:dyDescent="0.35">
      <c r="A278" t="s">
        <v>1600</v>
      </c>
      <c r="B278" t="s">
        <v>1601</v>
      </c>
      <c r="C278">
        <v>2021</v>
      </c>
      <c r="D278">
        <v>14</v>
      </c>
      <c r="E278" t="s">
        <v>1228</v>
      </c>
      <c r="F278" t="s">
        <v>1602</v>
      </c>
    </row>
    <row r="279" spans="1:9" x14ac:dyDescent="0.35">
      <c r="A279" t="s">
        <v>1603</v>
      </c>
      <c r="B279" t="s">
        <v>1604</v>
      </c>
      <c r="C279">
        <v>2024</v>
      </c>
      <c r="D279">
        <v>14</v>
      </c>
      <c r="E279" t="s">
        <v>1228</v>
      </c>
      <c r="F279" t="s">
        <v>1605</v>
      </c>
      <c r="G279" t="s">
        <v>1308</v>
      </c>
      <c r="H279" t="s">
        <v>1606</v>
      </c>
      <c r="I279" t="s">
        <v>1607</v>
      </c>
    </row>
    <row r="280" spans="1:9" x14ac:dyDescent="0.35">
      <c r="A280" t="s">
        <v>1608</v>
      </c>
      <c r="B280" t="s">
        <v>1609</v>
      </c>
      <c r="C280">
        <v>2023</v>
      </c>
      <c r="D280">
        <v>12</v>
      </c>
      <c r="E280" t="s">
        <v>1228</v>
      </c>
      <c r="F280" t="s">
        <v>1610</v>
      </c>
      <c r="G280" t="s">
        <v>625</v>
      </c>
      <c r="H280" t="s">
        <v>1611</v>
      </c>
      <c r="I280" t="s">
        <v>1612</v>
      </c>
    </row>
    <row r="281" spans="1:9" x14ac:dyDescent="0.35">
      <c r="A281" t="s">
        <v>1613</v>
      </c>
      <c r="B281" t="s">
        <v>1614</v>
      </c>
      <c r="C281">
        <v>2024</v>
      </c>
      <c r="D281">
        <v>12</v>
      </c>
      <c r="E281" t="s">
        <v>1228</v>
      </c>
      <c r="F281" t="s">
        <v>1615</v>
      </c>
      <c r="G281" t="s">
        <v>352</v>
      </c>
      <c r="H281" t="s">
        <v>1616</v>
      </c>
      <c r="I281" t="s">
        <v>1617</v>
      </c>
    </row>
    <row r="282" spans="1:9" x14ac:dyDescent="0.35">
      <c r="A282" t="s">
        <v>1618</v>
      </c>
      <c r="B282" t="s">
        <v>1619</v>
      </c>
      <c r="C282">
        <v>2023</v>
      </c>
      <c r="D282">
        <v>16</v>
      </c>
      <c r="E282" t="s">
        <v>1228</v>
      </c>
      <c r="F282" t="s">
        <v>1620</v>
      </c>
      <c r="G282" t="s">
        <v>1093</v>
      </c>
      <c r="H282" t="s">
        <v>1621</v>
      </c>
      <c r="I282" t="s">
        <v>1622</v>
      </c>
    </row>
    <row r="283" spans="1:9" x14ac:dyDescent="0.35">
      <c r="A283" t="s">
        <v>1623</v>
      </c>
      <c r="B283" t="s">
        <v>1624</v>
      </c>
      <c r="C283">
        <v>2023</v>
      </c>
      <c r="D283">
        <v>16</v>
      </c>
      <c r="E283" t="s">
        <v>1228</v>
      </c>
      <c r="F283" t="s">
        <v>1625</v>
      </c>
      <c r="G283" t="s">
        <v>1626</v>
      </c>
      <c r="H283" t="s">
        <v>1627</v>
      </c>
      <c r="I283" t="s">
        <v>1628</v>
      </c>
    </row>
    <row r="284" spans="1:9" x14ac:dyDescent="0.35">
      <c r="A284" t="s">
        <v>1629</v>
      </c>
      <c r="B284" t="s">
        <v>1630</v>
      </c>
      <c r="C284">
        <v>2023</v>
      </c>
      <c r="D284">
        <v>8</v>
      </c>
      <c r="E284" t="s">
        <v>1228</v>
      </c>
      <c r="F284" t="s">
        <v>1631</v>
      </c>
      <c r="G284" t="s">
        <v>1632</v>
      </c>
      <c r="H284" t="s">
        <v>1633</v>
      </c>
      <c r="I284" t="s">
        <v>1634</v>
      </c>
    </row>
    <row r="285" spans="1:9" x14ac:dyDescent="0.35">
      <c r="A285" t="s">
        <v>1635</v>
      </c>
      <c r="B285" t="s">
        <v>1636</v>
      </c>
      <c r="C285">
        <v>2024</v>
      </c>
      <c r="D285">
        <v>16</v>
      </c>
      <c r="E285" t="s">
        <v>1228</v>
      </c>
      <c r="F285" t="s">
        <v>1637</v>
      </c>
      <c r="G285" t="s">
        <v>1569</v>
      </c>
      <c r="H285" t="s">
        <v>1638</v>
      </c>
      <c r="I285" t="s">
        <v>1639</v>
      </c>
    </row>
    <row r="286" spans="1:9" x14ac:dyDescent="0.35">
      <c r="A286" t="s">
        <v>1640</v>
      </c>
      <c r="B286" t="s">
        <v>1641</v>
      </c>
      <c r="C286">
        <v>2023</v>
      </c>
      <c r="D286">
        <v>11</v>
      </c>
      <c r="E286" t="s">
        <v>1228</v>
      </c>
      <c r="F286" t="s">
        <v>1642</v>
      </c>
      <c r="G286" t="s">
        <v>1643</v>
      </c>
      <c r="H286" t="s">
        <v>1644</v>
      </c>
      <c r="I286" t="s">
        <v>1645</v>
      </c>
    </row>
    <row r="287" spans="1:9" x14ac:dyDescent="0.35">
      <c r="A287" t="s">
        <v>1646</v>
      </c>
      <c r="B287" t="s">
        <v>1647</v>
      </c>
      <c r="C287">
        <v>2023</v>
      </c>
      <c r="D287">
        <v>16</v>
      </c>
      <c r="E287" t="s">
        <v>1648</v>
      </c>
      <c r="F287" t="s">
        <v>1649</v>
      </c>
      <c r="G287" t="s">
        <v>1569</v>
      </c>
      <c r="H287" t="s">
        <v>1650</v>
      </c>
      <c r="I287" t="s">
        <v>1651</v>
      </c>
    </row>
    <row r="288" spans="1:9" x14ac:dyDescent="0.35">
      <c r="A288" t="s">
        <v>1652</v>
      </c>
      <c r="B288" t="s">
        <v>1653</v>
      </c>
      <c r="C288">
        <v>2023</v>
      </c>
      <c r="D288">
        <v>12</v>
      </c>
      <c r="E288" t="s">
        <v>1648</v>
      </c>
      <c r="F288" t="s">
        <v>1654</v>
      </c>
      <c r="G288" t="s">
        <v>567</v>
      </c>
      <c r="H288" t="s">
        <v>1655</v>
      </c>
      <c r="I288" t="s">
        <v>1656</v>
      </c>
    </row>
    <row r="289" spans="1:9" x14ac:dyDescent="0.35">
      <c r="A289" t="s">
        <v>1657</v>
      </c>
      <c r="B289" t="s">
        <v>1658</v>
      </c>
      <c r="C289">
        <v>2023</v>
      </c>
      <c r="D289">
        <v>16</v>
      </c>
      <c r="E289" t="s">
        <v>1648</v>
      </c>
      <c r="F289" t="s">
        <v>1659</v>
      </c>
      <c r="G289" t="s">
        <v>1660</v>
      </c>
      <c r="H289" t="s">
        <v>1661</v>
      </c>
      <c r="I289" t="s">
        <v>1662</v>
      </c>
    </row>
    <row r="290" spans="1:9" x14ac:dyDescent="0.35">
      <c r="A290" t="s">
        <v>1663</v>
      </c>
      <c r="B290" t="s">
        <v>1664</v>
      </c>
      <c r="C290">
        <v>2024</v>
      </c>
      <c r="D290">
        <v>12</v>
      </c>
      <c r="E290" t="s">
        <v>1665</v>
      </c>
      <c r="F290" t="s">
        <v>1666</v>
      </c>
      <c r="G290" t="s">
        <v>352</v>
      </c>
      <c r="H290" t="s">
        <v>1667</v>
      </c>
      <c r="I290" t="s">
        <v>1668</v>
      </c>
    </row>
    <row r="291" spans="1:9" x14ac:dyDescent="0.35">
      <c r="A291" t="s">
        <v>1669</v>
      </c>
      <c r="B291" t="s">
        <v>1670</v>
      </c>
      <c r="C291">
        <v>2025</v>
      </c>
      <c r="D291">
        <v>12</v>
      </c>
      <c r="E291" t="s">
        <v>1665</v>
      </c>
      <c r="F291" t="s">
        <v>1671</v>
      </c>
      <c r="G291" t="s">
        <v>807</v>
      </c>
      <c r="H291" t="s">
        <v>1672</v>
      </c>
      <c r="I291" t="s">
        <v>1673</v>
      </c>
    </row>
    <row r="292" spans="1:9" x14ac:dyDescent="0.35">
      <c r="A292" t="s">
        <v>1674</v>
      </c>
      <c r="B292" t="s">
        <v>1675</v>
      </c>
      <c r="C292">
        <v>2024</v>
      </c>
      <c r="D292">
        <v>16</v>
      </c>
      <c r="E292" t="s">
        <v>1665</v>
      </c>
      <c r="F292" t="s">
        <v>1676</v>
      </c>
      <c r="G292" t="s">
        <v>997</v>
      </c>
      <c r="H292" t="s">
        <v>1677</v>
      </c>
      <c r="I292" t="s">
        <v>1678</v>
      </c>
    </row>
    <row r="293" spans="1:9" x14ac:dyDescent="0.35">
      <c r="A293" t="s">
        <v>1679</v>
      </c>
      <c r="B293" t="s">
        <v>1680</v>
      </c>
      <c r="C293">
        <v>2023</v>
      </c>
      <c r="D293">
        <v>20</v>
      </c>
      <c r="E293" t="s">
        <v>1665</v>
      </c>
      <c r="F293" t="s">
        <v>1681</v>
      </c>
      <c r="G293" t="s">
        <v>1682</v>
      </c>
      <c r="H293" t="s">
        <v>1683</v>
      </c>
      <c r="I293" t="s">
        <v>1684</v>
      </c>
    </row>
    <row r="294" spans="1:9" x14ac:dyDescent="0.35">
      <c r="A294" t="s">
        <v>1685</v>
      </c>
      <c r="B294" t="s">
        <v>1686</v>
      </c>
      <c r="C294">
        <v>2023</v>
      </c>
      <c r="D294">
        <v>14</v>
      </c>
      <c r="E294" t="s">
        <v>1665</v>
      </c>
      <c r="F294" t="s">
        <v>1687</v>
      </c>
      <c r="G294" t="s">
        <v>836</v>
      </c>
      <c r="H294" t="s">
        <v>1688</v>
      </c>
      <c r="I294" t="s">
        <v>1689</v>
      </c>
    </row>
    <row r="295" spans="1:9" x14ac:dyDescent="0.35">
      <c r="A295" t="s">
        <v>1690</v>
      </c>
      <c r="B295" t="s">
        <v>1691</v>
      </c>
      <c r="C295">
        <v>2023</v>
      </c>
      <c r="D295">
        <v>16</v>
      </c>
      <c r="E295" t="s">
        <v>1665</v>
      </c>
      <c r="F295" t="s">
        <v>1692</v>
      </c>
      <c r="G295" t="s">
        <v>1693</v>
      </c>
      <c r="H295" t="s">
        <v>1694</v>
      </c>
      <c r="I295" t="s">
        <v>1695</v>
      </c>
    </row>
    <row r="296" spans="1:9" x14ac:dyDescent="0.35">
      <c r="A296" t="s">
        <v>1696</v>
      </c>
      <c r="B296" t="s">
        <v>1697</v>
      </c>
      <c r="C296">
        <v>2023</v>
      </c>
      <c r="D296">
        <v>18</v>
      </c>
      <c r="E296" t="s">
        <v>1665</v>
      </c>
      <c r="F296" t="s">
        <v>1698</v>
      </c>
      <c r="G296" t="s">
        <v>1682</v>
      </c>
      <c r="H296" t="s">
        <v>1699</v>
      </c>
      <c r="I296" t="s">
        <v>1700</v>
      </c>
    </row>
    <row r="297" spans="1:9" x14ac:dyDescent="0.35">
      <c r="A297" t="s">
        <v>1701</v>
      </c>
      <c r="B297" t="s">
        <v>1702</v>
      </c>
      <c r="C297">
        <v>2025</v>
      </c>
      <c r="D297">
        <v>12</v>
      </c>
      <c r="E297">
        <v>8</v>
      </c>
      <c r="F297" t="s">
        <v>1703</v>
      </c>
      <c r="G297" t="s">
        <v>1704</v>
      </c>
      <c r="H297" t="s">
        <v>1705</v>
      </c>
      <c r="I297" t="s">
        <v>1706</v>
      </c>
    </row>
    <row r="298" spans="1:9" x14ac:dyDescent="0.35">
      <c r="A298" t="s">
        <v>1707</v>
      </c>
      <c r="B298" t="s">
        <v>1708</v>
      </c>
      <c r="C298">
        <v>2024</v>
      </c>
      <c r="D298">
        <v>12</v>
      </c>
      <c r="E298">
        <v>8</v>
      </c>
      <c r="F298" t="s">
        <v>1709</v>
      </c>
      <c r="G298" t="s">
        <v>1459</v>
      </c>
      <c r="H298" t="s">
        <v>1710</v>
      </c>
      <c r="I298" t="s">
        <v>1711</v>
      </c>
    </row>
    <row r="299" spans="1:9" x14ac:dyDescent="0.35">
      <c r="A299" t="s">
        <v>1712</v>
      </c>
      <c r="B299" t="s">
        <v>1713</v>
      </c>
      <c r="C299">
        <v>2024</v>
      </c>
      <c r="D299">
        <v>16</v>
      </c>
      <c r="E299">
        <v>8</v>
      </c>
      <c r="F299" t="s">
        <v>1714</v>
      </c>
      <c r="G299" t="s">
        <v>1715</v>
      </c>
      <c r="H299" t="s">
        <v>1716</v>
      </c>
      <c r="I299" t="s">
        <v>1717</v>
      </c>
    </row>
    <row r="300" spans="1:9" x14ac:dyDescent="0.35">
      <c r="A300" t="s">
        <v>1718</v>
      </c>
      <c r="B300" t="s">
        <v>1719</v>
      </c>
      <c r="C300">
        <v>2024</v>
      </c>
      <c r="D300">
        <v>10</v>
      </c>
      <c r="E300">
        <v>8</v>
      </c>
      <c r="F300" t="s">
        <v>1720</v>
      </c>
      <c r="G300" t="s">
        <v>1721</v>
      </c>
      <c r="H300" t="s">
        <v>1722</v>
      </c>
      <c r="I300" t="s">
        <v>1723</v>
      </c>
    </row>
    <row r="301" spans="1:9" x14ac:dyDescent="0.35">
      <c r="A301" t="s">
        <v>1724</v>
      </c>
      <c r="B301" t="s">
        <v>1725</v>
      </c>
      <c r="C301">
        <v>2024</v>
      </c>
      <c r="D301">
        <v>20</v>
      </c>
      <c r="E301">
        <v>8</v>
      </c>
      <c r="F301" t="s">
        <v>1726</v>
      </c>
      <c r="G301" t="s">
        <v>1727</v>
      </c>
      <c r="H301" t="s">
        <v>1728</v>
      </c>
      <c r="I301" t="s">
        <v>1729</v>
      </c>
    </row>
    <row r="302" spans="1:9" x14ac:dyDescent="0.35">
      <c r="A302" t="s">
        <v>1730</v>
      </c>
      <c r="B302" t="s">
        <v>1731</v>
      </c>
      <c r="C302">
        <v>2023</v>
      </c>
      <c r="D302">
        <v>16</v>
      </c>
      <c r="E302">
        <v>8</v>
      </c>
      <c r="F302" t="s">
        <v>1732</v>
      </c>
      <c r="G302" t="s">
        <v>1733</v>
      </c>
      <c r="H302" t="s">
        <v>1734</v>
      </c>
      <c r="I302" t="s">
        <v>1735</v>
      </c>
    </row>
    <row r="303" spans="1:9" x14ac:dyDescent="0.35">
      <c r="A303" t="s">
        <v>1736</v>
      </c>
      <c r="B303" t="s">
        <v>1737</v>
      </c>
      <c r="C303">
        <v>2024</v>
      </c>
      <c r="D303">
        <v>16</v>
      </c>
      <c r="E303" t="s">
        <v>1738</v>
      </c>
      <c r="F303" t="s">
        <v>1739</v>
      </c>
      <c r="G303" t="s">
        <v>1105</v>
      </c>
      <c r="H303" t="s">
        <v>1740</v>
      </c>
      <c r="I303" t="s">
        <v>1741</v>
      </c>
    </row>
    <row r="304" spans="1:9" x14ac:dyDescent="0.35">
      <c r="A304" t="s">
        <v>1742</v>
      </c>
      <c r="B304" t="s">
        <v>1743</v>
      </c>
      <c r="C304">
        <v>2025</v>
      </c>
      <c r="D304">
        <v>50</v>
      </c>
      <c r="E304" t="s">
        <v>1738</v>
      </c>
      <c r="F304" t="s">
        <v>1744</v>
      </c>
      <c r="G304" t="s">
        <v>1745</v>
      </c>
      <c r="H304" t="s">
        <v>1746</v>
      </c>
      <c r="I304" t="s">
        <v>1747</v>
      </c>
    </row>
    <row r="305" spans="1:9" x14ac:dyDescent="0.35">
      <c r="A305" t="s">
        <v>1748</v>
      </c>
      <c r="B305" t="s">
        <v>1749</v>
      </c>
      <c r="C305">
        <v>2023</v>
      </c>
      <c r="D305">
        <v>16</v>
      </c>
      <c r="E305" t="s">
        <v>1738</v>
      </c>
      <c r="F305" t="s">
        <v>1750</v>
      </c>
      <c r="G305" t="s">
        <v>567</v>
      </c>
      <c r="H305" t="s">
        <v>1751</v>
      </c>
      <c r="I305" t="s">
        <v>1752</v>
      </c>
    </row>
    <row r="306" spans="1:9" x14ac:dyDescent="0.35">
      <c r="A306" t="s">
        <v>1753</v>
      </c>
      <c r="B306" t="s">
        <v>1754</v>
      </c>
      <c r="C306">
        <v>2023</v>
      </c>
      <c r="D306">
        <v>16</v>
      </c>
      <c r="E306" t="s">
        <v>1738</v>
      </c>
      <c r="F306" t="s">
        <v>1755</v>
      </c>
      <c r="G306" t="s">
        <v>1756</v>
      </c>
      <c r="H306" t="s">
        <v>1757</v>
      </c>
      <c r="I306" t="s">
        <v>1758</v>
      </c>
    </row>
    <row r="307" spans="1:9" x14ac:dyDescent="0.35">
      <c r="A307" t="s">
        <v>1759</v>
      </c>
      <c r="B307" t="s">
        <v>1760</v>
      </c>
      <c r="C307">
        <v>2023</v>
      </c>
      <c r="D307">
        <v>16</v>
      </c>
      <c r="E307" t="s">
        <v>1761</v>
      </c>
      <c r="F307" t="s">
        <v>1762</v>
      </c>
      <c r="G307" t="s">
        <v>1763</v>
      </c>
      <c r="H307" t="s">
        <v>1764</v>
      </c>
      <c r="I307" t="s">
        <v>1765</v>
      </c>
    </row>
    <row r="308" spans="1:9" x14ac:dyDescent="0.35">
      <c r="A308" t="s">
        <v>1766</v>
      </c>
      <c r="B308" t="s">
        <v>1767</v>
      </c>
      <c r="C308">
        <v>2024</v>
      </c>
      <c r="D308">
        <v>8</v>
      </c>
      <c r="E308" t="s">
        <v>1761</v>
      </c>
      <c r="F308" t="s">
        <v>1768</v>
      </c>
      <c r="G308" t="s">
        <v>1769</v>
      </c>
      <c r="H308" t="s">
        <v>1770</v>
      </c>
      <c r="I308" t="s">
        <v>1771</v>
      </c>
    </row>
    <row r="309" spans="1:9" x14ac:dyDescent="0.35">
      <c r="A309" t="s">
        <v>1772</v>
      </c>
      <c r="B309" t="s">
        <v>1773</v>
      </c>
      <c r="C309">
        <v>2023</v>
      </c>
      <c r="D309">
        <v>12</v>
      </c>
      <c r="E309" t="s">
        <v>1761</v>
      </c>
      <c r="F309" t="s">
        <v>1774</v>
      </c>
      <c r="G309" t="s">
        <v>284</v>
      </c>
      <c r="H309" t="s">
        <v>1775</v>
      </c>
      <c r="I309" t="s">
        <v>1776</v>
      </c>
    </row>
    <row r="310" spans="1:9" x14ac:dyDescent="0.35">
      <c r="A310" t="s">
        <v>1777</v>
      </c>
      <c r="B310" t="s">
        <v>1778</v>
      </c>
      <c r="C310">
        <v>2023</v>
      </c>
      <c r="D310">
        <v>12</v>
      </c>
      <c r="E310" t="s">
        <v>1761</v>
      </c>
      <c r="F310" t="s">
        <v>1779</v>
      </c>
      <c r="G310" t="s">
        <v>1780</v>
      </c>
      <c r="H310" t="s">
        <v>1781</v>
      </c>
      <c r="I310" t="s">
        <v>1782</v>
      </c>
    </row>
    <row r="311" spans="1:9" x14ac:dyDescent="0.35">
      <c r="A311" t="s">
        <v>1783</v>
      </c>
      <c r="B311" t="s">
        <v>1784</v>
      </c>
      <c r="C311">
        <v>2025</v>
      </c>
      <c r="D311">
        <v>10</v>
      </c>
      <c r="E311" t="s">
        <v>1785</v>
      </c>
      <c r="F311" t="s">
        <v>1786</v>
      </c>
      <c r="G311" t="s">
        <v>1787</v>
      </c>
      <c r="H311" t="s">
        <v>1788</v>
      </c>
      <c r="I311" t="s">
        <v>1789</v>
      </c>
    </row>
    <row r="312" spans="1:9" x14ac:dyDescent="0.35">
      <c r="A312" t="s">
        <v>1790</v>
      </c>
      <c r="B312" t="s">
        <v>1791</v>
      </c>
      <c r="C312">
        <v>2023</v>
      </c>
      <c r="D312">
        <v>12</v>
      </c>
      <c r="E312" t="s">
        <v>1785</v>
      </c>
      <c r="F312" t="s">
        <v>1792</v>
      </c>
      <c r="G312" t="s">
        <v>1793</v>
      </c>
      <c r="H312" t="s">
        <v>1794</v>
      </c>
      <c r="I312" t="s">
        <v>1795</v>
      </c>
    </row>
    <row r="313" spans="1:9" x14ac:dyDescent="0.35">
      <c r="A313" t="s">
        <v>1796</v>
      </c>
      <c r="B313" t="s">
        <v>1797</v>
      </c>
      <c r="C313">
        <v>2024</v>
      </c>
      <c r="D313">
        <v>16</v>
      </c>
      <c r="E313" t="s">
        <v>1785</v>
      </c>
      <c r="F313" t="s">
        <v>1798</v>
      </c>
      <c r="G313" t="s">
        <v>567</v>
      </c>
      <c r="H313" t="s">
        <v>1799</v>
      </c>
      <c r="I313" t="s">
        <v>1800</v>
      </c>
    </row>
    <row r="314" spans="1:9" x14ac:dyDescent="0.35">
      <c r="A314" t="s">
        <v>1801</v>
      </c>
      <c r="B314" t="s">
        <v>1802</v>
      </c>
      <c r="C314">
        <v>2023</v>
      </c>
      <c r="D314">
        <v>8</v>
      </c>
      <c r="E314" t="s">
        <v>1785</v>
      </c>
      <c r="F314" t="s">
        <v>1803</v>
      </c>
      <c r="G314" t="s">
        <v>1003</v>
      </c>
      <c r="H314" t="s">
        <v>1804</v>
      </c>
      <c r="I314" t="s">
        <v>1805</v>
      </c>
    </row>
    <row r="315" spans="1:9" x14ac:dyDescent="0.35">
      <c r="A315" t="s">
        <v>1806</v>
      </c>
      <c r="B315" t="s">
        <v>1807</v>
      </c>
      <c r="C315">
        <v>2024</v>
      </c>
      <c r="D315">
        <v>7</v>
      </c>
      <c r="E315" t="s">
        <v>1785</v>
      </c>
      <c r="F315" t="s">
        <v>1808</v>
      </c>
      <c r="G315" t="s">
        <v>1809</v>
      </c>
      <c r="H315" t="s">
        <v>1810</v>
      </c>
      <c r="I315" t="s">
        <v>1811</v>
      </c>
    </row>
    <row r="316" spans="1:9" x14ac:dyDescent="0.35">
      <c r="A316" t="s">
        <v>1812</v>
      </c>
      <c r="B316" t="s">
        <v>1813</v>
      </c>
      <c r="C316">
        <v>2023</v>
      </c>
      <c r="D316">
        <v>12</v>
      </c>
      <c r="E316" t="s">
        <v>1785</v>
      </c>
      <c r="F316" t="s">
        <v>1814</v>
      </c>
      <c r="G316" t="s">
        <v>1815</v>
      </c>
      <c r="H316" t="s">
        <v>1816</v>
      </c>
      <c r="I316" t="s">
        <v>1817</v>
      </c>
    </row>
    <row r="317" spans="1:9" x14ac:dyDescent="0.35">
      <c r="A317" t="s">
        <v>1818</v>
      </c>
      <c r="B317" t="s">
        <v>1819</v>
      </c>
      <c r="C317">
        <v>2024</v>
      </c>
      <c r="D317">
        <v>16</v>
      </c>
      <c r="E317" t="s">
        <v>1820</v>
      </c>
      <c r="F317" t="s">
        <v>1821</v>
      </c>
      <c r="G317" t="s">
        <v>1822</v>
      </c>
      <c r="H317" t="s">
        <v>1823</v>
      </c>
      <c r="I317" t="s">
        <v>1824</v>
      </c>
    </row>
    <row r="318" spans="1:9" x14ac:dyDescent="0.35">
      <c r="A318" t="s">
        <v>1825</v>
      </c>
      <c r="B318" t="s">
        <v>1826</v>
      </c>
      <c r="C318">
        <v>2024</v>
      </c>
      <c r="D318">
        <v>8</v>
      </c>
      <c r="E318" t="s">
        <v>1820</v>
      </c>
      <c r="F318" t="s">
        <v>1827</v>
      </c>
    </row>
    <row r="319" spans="1:9" x14ac:dyDescent="0.35">
      <c r="A319" t="s">
        <v>1828</v>
      </c>
      <c r="B319" t="s">
        <v>1829</v>
      </c>
      <c r="C319">
        <v>2023</v>
      </c>
      <c r="D319">
        <v>16</v>
      </c>
      <c r="E319" t="s">
        <v>1820</v>
      </c>
      <c r="F319" t="s">
        <v>1830</v>
      </c>
      <c r="G319" t="s">
        <v>1831</v>
      </c>
      <c r="H319" t="s">
        <v>1832</v>
      </c>
      <c r="I319" t="s">
        <v>1833</v>
      </c>
    </row>
    <row r="320" spans="1:9" x14ac:dyDescent="0.35">
      <c r="A320" t="s">
        <v>1834</v>
      </c>
      <c r="B320" t="s">
        <v>1835</v>
      </c>
      <c r="C320">
        <v>2024</v>
      </c>
      <c r="D320">
        <v>16</v>
      </c>
      <c r="E320" t="s">
        <v>1820</v>
      </c>
      <c r="F320" t="s">
        <v>1836</v>
      </c>
      <c r="G320" t="s">
        <v>1837</v>
      </c>
      <c r="H320" t="s">
        <v>1838</v>
      </c>
      <c r="I320" t="s">
        <v>1839</v>
      </c>
    </row>
    <row r="321" spans="1:9" x14ac:dyDescent="0.35">
      <c r="A321" t="s">
        <v>1840</v>
      </c>
      <c r="B321" t="s">
        <v>1841</v>
      </c>
      <c r="C321">
        <v>2024</v>
      </c>
      <c r="D321">
        <v>24</v>
      </c>
      <c r="E321" t="s">
        <v>1820</v>
      </c>
      <c r="F321" t="s">
        <v>1842</v>
      </c>
      <c r="G321" t="s">
        <v>1843</v>
      </c>
      <c r="H321" t="s">
        <v>1844</v>
      </c>
      <c r="I321" t="s">
        <v>1845</v>
      </c>
    </row>
    <row r="322" spans="1:9" x14ac:dyDescent="0.35">
      <c r="A322" t="s">
        <v>1846</v>
      </c>
      <c r="B322" t="s">
        <v>1847</v>
      </c>
      <c r="C322">
        <v>2025</v>
      </c>
      <c r="D322">
        <v>10</v>
      </c>
      <c r="E322" t="s">
        <v>1820</v>
      </c>
      <c r="F322" t="s">
        <v>1848</v>
      </c>
      <c r="G322" t="s">
        <v>1529</v>
      </c>
      <c r="H322" t="s">
        <v>1849</v>
      </c>
      <c r="I322" t="s">
        <v>1850</v>
      </c>
    </row>
    <row r="323" spans="1:9" x14ac:dyDescent="0.35">
      <c r="A323" t="s">
        <v>1851</v>
      </c>
      <c r="B323" t="s">
        <v>1852</v>
      </c>
      <c r="C323">
        <v>2023</v>
      </c>
      <c r="D323">
        <v>10</v>
      </c>
      <c r="E323" t="s">
        <v>1820</v>
      </c>
      <c r="F323" t="s">
        <v>1853</v>
      </c>
      <c r="G323" t="s">
        <v>1380</v>
      </c>
      <c r="H323" t="s">
        <v>1854</v>
      </c>
      <c r="I323" t="s">
        <v>1855</v>
      </c>
    </row>
    <row r="324" spans="1:9" x14ac:dyDescent="0.35">
      <c r="A324" t="s">
        <v>1856</v>
      </c>
      <c r="B324" t="s">
        <v>1857</v>
      </c>
      <c r="C324">
        <v>2023</v>
      </c>
      <c r="D324">
        <v>10</v>
      </c>
      <c r="E324" t="s">
        <v>1858</v>
      </c>
      <c r="F324" t="s">
        <v>1859</v>
      </c>
      <c r="G324" t="s">
        <v>1860</v>
      </c>
      <c r="H324" t="s">
        <v>1861</v>
      </c>
      <c r="I324" t="s">
        <v>1862</v>
      </c>
    </row>
    <row r="325" spans="1:9" x14ac:dyDescent="0.35">
      <c r="A325" t="s">
        <v>1863</v>
      </c>
      <c r="B325" t="s">
        <v>1864</v>
      </c>
      <c r="C325">
        <v>2024</v>
      </c>
      <c r="D325">
        <v>128</v>
      </c>
      <c r="E325" t="s">
        <v>1858</v>
      </c>
      <c r="F325" t="s">
        <v>1865</v>
      </c>
      <c r="G325" t="s">
        <v>1866</v>
      </c>
      <c r="H325" t="s">
        <v>1867</v>
      </c>
      <c r="I325" t="s">
        <v>1868</v>
      </c>
    </row>
    <row r="326" spans="1:9" x14ac:dyDescent="0.35">
      <c r="A326" t="s">
        <v>1869</v>
      </c>
      <c r="B326" t="s">
        <v>1870</v>
      </c>
      <c r="C326">
        <v>2023</v>
      </c>
      <c r="D326">
        <v>12</v>
      </c>
      <c r="E326" t="s">
        <v>1858</v>
      </c>
      <c r="F326" t="s">
        <v>1871</v>
      </c>
      <c r="G326" t="s">
        <v>1872</v>
      </c>
      <c r="H326" t="s">
        <v>1873</v>
      </c>
      <c r="I326" t="s">
        <v>1874</v>
      </c>
    </row>
    <row r="327" spans="1:9" x14ac:dyDescent="0.35">
      <c r="A327" t="s">
        <v>1875</v>
      </c>
      <c r="B327" t="s">
        <v>1876</v>
      </c>
      <c r="C327">
        <v>2024</v>
      </c>
      <c r="D327">
        <v>16</v>
      </c>
      <c r="E327" t="s">
        <v>1858</v>
      </c>
      <c r="F327" t="s">
        <v>1877</v>
      </c>
      <c r="G327" t="s">
        <v>1643</v>
      </c>
      <c r="H327" t="s">
        <v>1878</v>
      </c>
      <c r="I327" t="s">
        <v>1879</v>
      </c>
    </row>
    <row r="328" spans="1:9" x14ac:dyDescent="0.35">
      <c r="A328" t="s">
        <v>1880</v>
      </c>
      <c r="B328" t="s">
        <v>1881</v>
      </c>
      <c r="C328">
        <v>2024</v>
      </c>
      <c r="D328">
        <v>12</v>
      </c>
      <c r="E328" t="s">
        <v>1858</v>
      </c>
      <c r="F328" t="s">
        <v>1882</v>
      </c>
      <c r="G328" t="s">
        <v>567</v>
      </c>
      <c r="H328" t="s">
        <v>1883</v>
      </c>
      <c r="I328" t="s">
        <v>1884</v>
      </c>
    </row>
    <row r="329" spans="1:9" x14ac:dyDescent="0.35">
      <c r="A329" t="s">
        <v>1885</v>
      </c>
      <c r="B329" t="s">
        <v>1886</v>
      </c>
      <c r="C329">
        <v>2023</v>
      </c>
      <c r="D329">
        <v>12</v>
      </c>
      <c r="E329" t="s">
        <v>1858</v>
      </c>
      <c r="F329" t="s">
        <v>1887</v>
      </c>
      <c r="G329" t="s">
        <v>725</v>
      </c>
      <c r="H329" t="s">
        <v>1888</v>
      </c>
      <c r="I329" t="s">
        <v>1889</v>
      </c>
    </row>
    <row r="330" spans="1:9" x14ac:dyDescent="0.35">
      <c r="A330" t="s">
        <v>1890</v>
      </c>
      <c r="B330" t="s">
        <v>1891</v>
      </c>
      <c r="C330">
        <v>2024</v>
      </c>
      <c r="D330">
        <v>12</v>
      </c>
      <c r="E330" t="s">
        <v>1892</v>
      </c>
      <c r="F330" t="s">
        <v>1893</v>
      </c>
      <c r="G330" t="s">
        <v>1894</v>
      </c>
      <c r="H330" t="s">
        <v>1895</v>
      </c>
      <c r="I330" t="s">
        <v>1896</v>
      </c>
    </row>
    <row r="331" spans="1:9" x14ac:dyDescent="0.35">
      <c r="A331" t="s">
        <v>1897</v>
      </c>
      <c r="B331" t="s">
        <v>1898</v>
      </c>
      <c r="C331">
        <v>2025</v>
      </c>
      <c r="D331">
        <v>8</v>
      </c>
      <c r="E331" t="s">
        <v>1892</v>
      </c>
      <c r="F331" t="s">
        <v>1899</v>
      </c>
      <c r="G331" t="s">
        <v>1900</v>
      </c>
      <c r="H331" t="s">
        <v>1901</v>
      </c>
      <c r="I331" t="s">
        <v>1902</v>
      </c>
    </row>
    <row r="332" spans="1:9" x14ac:dyDescent="0.35">
      <c r="A332" t="s">
        <v>1903</v>
      </c>
      <c r="B332" t="s">
        <v>1904</v>
      </c>
      <c r="C332">
        <v>2024</v>
      </c>
      <c r="D332">
        <v>12</v>
      </c>
      <c r="E332" t="s">
        <v>1892</v>
      </c>
      <c r="F332" t="s">
        <v>1905</v>
      </c>
      <c r="G332" t="s">
        <v>409</v>
      </c>
      <c r="H332" t="s">
        <v>1906</v>
      </c>
      <c r="I332" t="s">
        <v>1907</v>
      </c>
    </row>
    <row r="333" spans="1:9" x14ac:dyDescent="0.35">
      <c r="A333" t="s">
        <v>1908</v>
      </c>
      <c r="B333" t="s">
        <v>1909</v>
      </c>
      <c r="C333">
        <v>2024</v>
      </c>
      <c r="D333">
        <v>6</v>
      </c>
      <c r="E333" t="s">
        <v>1892</v>
      </c>
      <c r="F333" t="s">
        <v>1910</v>
      </c>
      <c r="G333" t="s">
        <v>1551</v>
      </c>
      <c r="H333" t="s">
        <v>1911</v>
      </c>
      <c r="I333" t="s">
        <v>1912</v>
      </c>
    </row>
    <row r="334" spans="1:9" x14ac:dyDescent="0.35">
      <c r="A334" t="s">
        <v>1913</v>
      </c>
      <c r="B334" t="s">
        <v>1914</v>
      </c>
      <c r="C334">
        <v>2023</v>
      </c>
      <c r="D334">
        <v>16</v>
      </c>
      <c r="E334" t="s">
        <v>1892</v>
      </c>
      <c r="F334" t="s">
        <v>1915</v>
      </c>
      <c r="G334" t="s">
        <v>1916</v>
      </c>
      <c r="H334" t="s">
        <v>1917</v>
      </c>
      <c r="I334" t="s">
        <v>1918</v>
      </c>
    </row>
    <row r="335" spans="1:9" x14ac:dyDescent="0.35">
      <c r="A335" t="s">
        <v>1919</v>
      </c>
      <c r="B335" t="s">
        <v>1920</v>
      </c>
      <c r="C335">
        <v>2023</v>
      </c>
      <c r="D335">
        <v>16</v>
      </c>
      <c r="E335" t="s">
        <v>1921</v>
      </c>
      <c r="F335" t="s">
        <v>1922</v>
      </c>
      <c r="G335" t="s">
        <v>1308</v>
      </c>
      <c r="H335" t="s">
        <v>1923</v>
      </c>
      <c r="I335" t="s">
        <v>1924</v>
      </c>
    </row>
    <row r="336" spans="1:9" x14ac:dyDescent="0.35">
      <c r="A336" t="s">
        <v>1925</v>
      </c>
      <c r="B336" t="s">
        <v>1926</v>
      </c>
      <c r="C336">
        <v>2025</v>
      </c>
      <c r="D336">
        <v>12</v>
      </c>
      <c r="E336" t="s">
        <v>1921</v>
      </c>
      <c r="F336" t="s">
        <v>1927</v>
      </c>
      <c r="G336" t="s">
        <v>1928</v>
      </c>
      <c r="H336" t="s">
        <v>1929</v>
      </c>
      <c r="I336" t="s">
        <v>1930</v>
      </c>
    </row>
    <row r="337" spans="1:9" x14ac:dyDescent="0.35">
      <c r="A337" t="s">
        <v>1931</v>
      </c>
      <c r="B337" t="s">
        <v>1932</v>
      </c>
      <c r="C337">
        <v>2024</v>
      </c>
      <c r="D337">
        <v>6</v>
      </c>
      <c r="E337" t="s">
        <v>1921</v>
      </c>
      <c r="F337" t="s">
        <v>1933</v>
      </c>
      <c r="G337" t="s">
        <v>1934</v>
      </c>
      <c r="H337" t="s">
        <v>1935</v>
      </c>
      <c r="I337" t="s">
        <v>1936</v>
      </c>
    </row>
    <row r="338" spans="1:9" x14ac:dyDescent="0.35">
      <c r="A338" t="s">
        <v>1937</v>
      </c>
      <c r="B338" t="s">
        <v>1938</v>
      </c>
      <c r="C338">
        <v>2023</v>
      </c>
      <c r="D338">
        <v>50</v>
      </c>
      <c r="E338" t="s">
        <v>1921</v>
      </c>
      <c r="F338" t="s">
        <v>1939</v>
      </c>
      <c r="G338" t="s">
        <v>1093</v>
      </c>
      <c r="H338" t="s">
        <v>1940</v>
      </c>
      <c r="I338" t="s">
        <v>1941</v>
      </c>
    </row>
    <row r="339" spans="1:9" x14ac:dyDescent="0.35">
      <c r="A339" t="s">
        <v>1942</v>
      </c>
      <c r="B339" t="s">
        <v>1943</v>
      </c>
      <c r="C339">
        <v>2023</v>
      </c>
      <c r="D339">
        <v>16</v>
      </c>
      <c r="E339" t="s">
        <v>1944</v>
      </c>
      <c r="F339" t="s">
        <v>1945</v>
      </c>
      <c r="G339" t="s">
        <v>1946</v>
      </c>
      <c r="H339" t="s">
        <v>1947</v>
      </c>
      <c r="I339" t="s">
        <v>1948</v>
      </c>
    </row>
    <row r="340" spans="1:9" x14ac:dyDescent="0.35">
      <c r="A340" t="s">
        <v>1949</v>
      </c>
      <c r="B340" t="s">
        <v>1950</v>
      </c>
      <c r="C340">
        <v>2024</v>
      </c>
      <c r="D340">
        <v>16</v>
      </c>
      <c r="E340" t="s">
        <v>1944</v>
      </c>
      <c r="F340" t="s">
        <v>1951</v>
      </c>
      <c r="G340" t="s">
        <v>1308</v>
      </c>
      <c r="H340" t="s">
        <v>1952</v>
      </c>
      <c r="I340" t="s">
        <v>1953</v>
      </c>
    </row>
    <row r="341" spans="1:9" x14ac:dyDescent="0.35">
      <c r="A341" t="s">
        <v>1954</v>
      </c>
      <c r="B341" t="s">
        <v>1955</v>
      </c>
      <c r="C341">
        <v>2024</v>
      </c>
      <c r="D341">
        <v>50</v>
      </c>
      <c r="E341" t="s">
        <v>1944</v>
      </c>
      <c r="F341" t="s">
        <v>1956</v>
      </c>
      <c r="G341" t="s">
        <v>1957</v>
      </c>
      <c r="H341" t="s">
        <v>1958</v>
      </c>
      <c r="I341" t="s">
        <v>1959</v>
      </c>
    </row>
    <row r="342" spans="1:9" x14ac:dyDescent="0.35">
      <c r="A342" t="s">
        <v>1960</v>
      </c>
      <c r="B342" t="s">
        <v>1961</v>
      </c>
      <c r="C342">
        <v>2025</v>
      </c>
      <c r="D342">
        <v>12</v>
      </c>
      <c r="E342" t="s">
        <v>1944</v>
      </c>
      <c r="F342" t="s">
        <v>1962</v>
      </c>
      <c r="G342" t="s">
        <v>1963</v>
      </c>
      <c r="H342" t="s">
        <v>1964</v>
      </c>
      <c r="I342" t="s">
        <v>1965</v>
      </c>
    </row>
    <row r="343" spans="1:9" x14ac:dyDescent="0.35">
      <c r="A343" t="s">
        <v>1966</v>
      </c>
      <c r="B343" t="s">
        <v>1967</v>
      </c>
      <c r="C343">
        <v>2023</v>
      </c>
      <c r="D343">
        <v>12</v>
      </c>
      <c r="E343" t="s">
        <v>1944</v>
      </c>
      <c r="F343" t="s">
        <v>1968</v>
      </c>
      <c r="G343" t="s">
        <v>1969</v>
      </c>
      <c r="H343" t="s">
        <v>1970</v>
      </c>
      <c r="I343" t="s">
        <v>1971</v>
      </c>
    </row>
    <row r="344" spans="1:9" x14ac:dyDescent="0.35">
      <c r="A344" t="s">
        <v>1972</v>
      </c>
      <c r="B344" t="s">
        <v>1973</v>
      </c>
      <c r="C344">
        <v>2023</v>
      </c>
      <c r="D344">
        <v>12</v>
      </c>
      <c r="E344" t="s">
        <v>1944</v>
      </c>
      <c r="F344" t="s">
        <v>1974</v>
      </c>
      <c r="G344" t="s">
        <v>1975</v>
      </c>
      <c r="H344" t="s">
        <v>1976</v>
      </c>
      <c r="I344" t="s">
        <v>1977</v>
      </c>
    </row>
    <row r="345" spans="1:9" x14ac:dyDescent="0.35">
      <c r="A345" t="s">
        <v>1978</v>
      </c>
      <c r="B345" t="s">
        <v>1979</v>
      </c>
      <c r="C345">
        <v>2024</v>
      </c>
      <c r="D345">
        <v>16</v>
      </c>
      <c r="E345" t="s">
        <v>1980</v>
      </c>
      <c r="F345" t="s">
        <v>1981</v>
      </c>
      <c r="G345" t="s">
        <v>1569</v>
      </c>
      <c r="H345" t="s">
        <v>1982</v>
      </c>
      <c r="I345" t="s">
        <v>1983</v>
      </c>
    </row>
    <row r="346" spans="1:9" x14ac:dyDescent="0.35">
      <c r="A346" t="s">
        <v>1984</v>
      </c>
      <c r="B346" t="s">
        <v>1985</v>
      </c>
      <c r="C346">
        <v>2024</v>
      </c>
      <c r="D346">
        <v>7</v>
      </c>
      <c r="E346" t="s">
        <v>1986</v>
      </c>
      <c r="F346" t="s">
        <v>1987</v>
      </c>
    </row>
    <row r="347" spans="1:9" x14ac:dyDescent="0.35">
      <c r="A347" t="s">
        <v>1988</v>
      </c>
      <c r="B347" t="s">
        <v>1989</v>
      </c>
      <c r="C347">
        <v>2023</v>
      </c>
      <c r="D347">
        <v>10</v>
      </c>
      <c r="E347" t="s">
        <v>1986</v>
      </c>
      <c r="F347" t="s">
        <v>1990</v>
      </c>
      <c r="G347" t="s">
        <v>1569</v>
      </c>
      <c r="H347" t="s">
        <v>1991</v>
      </c>
      <c r="I347" t="s">
        <v>1992</v>
      </c>
    </row>
    <row r="348" spans="1:9" x14ac:dyDescent="0.35">
      <c r="A348" t="s">
        <v>1993</v>
      </c>
      <c r="B348" t="s">
        <v>1994</v>
      </c>
      <c r="C348">
        <v>2024</v>
      </c>
      <c r="D348">
        <v>16</v>
      </c>
      <c r="E348" t="s">
        <v>1986</v>
      </c>
      <c r="F348" t="s">
        <v>1995</v>
      </c>
      <c r="G348" t="s">
        <v>1996</v>
      </c>
      <c r="H348" t="s">
        <v>1997</v>
      </c>
      <c r="I348" t="s">
        <v>1998</v>
      </c>
    </row>
    <row r="349" spans="1:9" x14ac:dyDescent="0.35">
      <c r="A349" t="s">
        <v>1999</v>
      </c>
      <c r="B349" t="s">
        <v>2000</v>
      </c>
      <c r="C349">
        <v>2024</v>
      </c>
      <c r="D349">
        <v>10</v>
      </c>
      <c r="E349" t="s">
        <v>1986</v>
      </c>
      <c r="F349" t="s">
        <v>2001</v>
      </c>
      <c r="G349" t="s">
        <v>2002</v>
      </c>
      <c r="H349" t="s">
        <v>2003</v>
      </c>
      <c r="I349" t="s">
        <v>2004</v>
      </c>
    </row>
    <row r="350" spans="1:9" x14ac:dyDescent="0.35">
      <c r="A350" t="s">
        <v>2005</v>
      </c>
      <c r="B350" t="s">
        <v>2006</v>
      </c>
      <c r="C350">
        <v>2024</v>
      </c>
      <c r="D350">
        <v>124</v>
      </c>
      <c r="E350" t="s">
        <v>2007</v>
      </c>
      <c r="F350" t="s">
        <v>2008</v>
      </c>
      <c r="G350" t="s">
        <v>1093</v>
      </c>
      <c r="H350" t="s">
        <v>2009</v>
      </c>
      <c r="I350" t="s">
        <v>2010</v>
      </c>
    </row>
    <row r="351" spans="1:9" x14ac:dyDescent="0.35">
      <c r="A351" t="s">
        <v>2011</v>
      </c>
      <c r="B351" t="s">
        <v>2012</v>
      </c>
      <c r="C351">
        <v>2024</v>
      </c>
      <c r="D351">
        <v>12</v>
      </c>
      <c r="E351" t="s">
        <v>2013</v>
      </c>
      <c r="F351" t="s">
        <v>2014</v>
      </c>
      <c r="G351" t="s">
        <v>2015</v>
      </c>
      <c r="H351" t="s">
        <v>2016</v>
      </c>
      <c r="I351" t="s">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0F08-D056-48FE-AC53-BE834D6C5FFB}">
  <dimension ref="B1:S353"/>
  <sheetViews>
    <sheetView tabSelected="1" topLeftCell="A23" zoomScale="72" zoomScaleNormal="85" workbookViewId="0">
      <selection activeCell="G38" sqref="G38"/>
    </sheetView>
  </sheetViews>
  <sheetFormatPr defaultRowHeight="14.5" x14ac:dyDescent="0.35"/>
  <cols>
    <col min="2" max="2" width="19.08984375" bestFit="1" customWidth="1"/>
    <col min="3" max="3" width="11.7265625" customWidth="1"/>
    <col min="4" max="4" width="18.6328125" bestFit="1" customWidth="1"/>
    <col min="5" max="5" width="74" customWidth="1"/>
    <col min="7" max="7" width="14.7265625" customWidth="1"/>
    <col min="8" max="8" width="10.54296875" customWidth="1"/>
    <col min="9" max="9" width="14.7265625" customWidth="1"/>
    <col min="10" max="10" width="18.90625" customWidth="1"/>
    <col min="12" max="12" width="53.54296875" bestFit="1" customWidth="1"/>
    <col min="13" max="13" width="16" style="9" bestFit="1" customWidth="1"/>
    <col min="14" max="14" width="18.453125" style="9" bestFit="1" customWidth="1"/>
    <col min="15" max="15" width="8.7265625" style="10"/>
    <col min="16" max="16" width="255.6328125" bestFit="1" customWidth="1"/>
    <col min="17" max="17" width="61.7265625" bestFit="1" customWidth="1"/>
    <col min="18" max="19" width="255.6328125" bestFit="1" customWidth="1"/>
  </cols>
  <sheetData>
    <row r="1" spans="2:19" ht="15.5" x14ac:dyDescent="0.35">
      <c r="B1" s="18" t="s">
        <v>2190</v>
      </c>
      <c r="C1" s="18"/>
      <c r="D1" s="18"/>
      <c r="E1" s="18"/>
    </row>
    <row r="3" spans="2:19" x14ac:dyDescent="0.35">
      <c r="B3" s="17" t="s">
        <v>2018</v>
      </c>
      <c r="C3" s="17"/>
      <c r="D3" s="17"/>
      <c r="E3" s="17"/>
      <c r="K3" s="2" t="s">
        <v>0</v>
      </c>
      <c r="L3" s="2" t="s">
        <v>1</v>
      </c>
      <c r="M3" s="2" t="s">
        <v>2</v>
      </c>
      <c r="N3" s="2" t="s">
        <v>3</v>
      </c>
      <c r="O3" s="2" t="s">
        <v>4</v>
      </c>
      <c r="P3" s="2" t="s">
        <v>5</v>
      </c>
      <c r="Q3" s="2" t="s">
        <v>6</v>
      </c>
      <c r="R3" s="2" t="s">
        <v>7</v>
      </c>
      <c r="S3" s="2" t="s">
        <v>8</v>
      </c>
    </row>
    <row r="4" spans="2:19" x14ac:dyDescent="0.35">
      <c r="B4" s="1" t="s">
        <v>2019</v>
      </c>
      <c r="C4" s="1" t="s">
        <v>4</v>
      </c>
      <c r="D4" s="1" t="s">
        <v>2020</v>
      </c>
      <c r="E4" s="1" t="s">
        <v>2021</v>
      </c>
      <c r="K4" s="2" t="s">
        <v>9</v>
      </c>
      <c r="L4" s="2" t="s">
        <v>10</v>
      </c>
      <c r="M4" s="4">
        <v>2021</v>
      </c>
      <c r="N4" s="4">
        <v>10</v>
      </c>
      <c r="O4" s="12" t="s">
        <v>11</v>
      </c>
      <c r="P4" s="2" t="s">
        <v>2147</v>
      </c>
      <c r="Q4" s="2" t="s">
        <v>13</v>
      </c>
      <c r="R4" s="2" t="s">
        <v>14</v>
      </c>
      <c r="S4" s="2" t="s">
        <v>15</v>
      </c>
    </row>
    <row r="5" spans="2:19" x14ac:dyDescent="0.35">
      <c r="B5" s="21" t="s">
        <v>2044</v>
      </c>
      <c r="C5" s="21"/>
      <c r="D5" s="21"/>
      <c r="E5" s="21"/>
      <c r="K5" s="2" t="s">
        <v>16</v>
      </c>
      <c r="L5" s="2" t="s">
        <v>17</v>
      </c>
      <c r="M5" s="4">
        <v>2023</v>
      </c>
      <c r="N5" s="4">
        <v>16</v>
      </c>
      <c r="O5" s="12" t="s">
        <v>11</v>
      </c>
      <c r="P5" s="2" t="s">
        <v>18</v>
      </c>
      <c r="Q5" s="2" t="s">
        <v>19</v>
      </c>
      <c r="R5" s="2" t="s">
        <v>20</v>
      </c>
      <c r="S5" s="2" t="s">
        <v>21</v>
      </c>
    </row>
    <row r="6" spans="2:19" x14ac:dyDescent="0.35">
      <c r="B6" s="2" t="s">
        <v>2022</v>
      </c>
      <c r="C6" s="3">
        <f>AVERAGE(O4:O353)</f>
        <v>8.6470588235294112</v>
      </c>
      <c r="D6" s="3">
        <f>AVERAGE(N4:N353)</f>
        <v>18.254285714285714</v>
      </c>
      <c r="E6" s="2" t="s">
        <v>2026</v>
      </c>
      <c r="K6" s="2" t="s">
        <v>22</v>
      </c>
      <c r="L6" s="2" t="s">
        <v>23</v>
      </c>
      <c r="M6" s="4">
        <v>2023</v>
      </c>
      <c r="N6" s="4">
        <v>20</v>
      </c>
      <c r="O6" s="12" t="s">
        <v>24</v>
      </c>
      <c r="P6" s="2" t="s">
        <v>25</v>
      </c>
      <c r="Q6" s="2" t="s">
        <v>26</v>
      </c>
      <c r="R6" s="2" t="s">
        <v>27</v>
      </c>
      <c r="S6" s="2" t="s">
        <v>28</v>
      </c>
    </row>
    <row r="7" spans="2:19" x14ac:dyDescent="0.35">
      <c r="B7" s="2" t="s">
        <v>2023</v>
      </c>
      <c r="C7" s="2">
        <f>MEDIAN(O4:O353)</f>
        <v>9</v>
      </c>
      <c r="D7" s="2">
        <f>MEDIAN(N4:N353)</f>
        <v>16</v>
      </c>
      <c r="E7" s="2" t="s">
        <v>2025</v>
      </c>
      <c r="K7" s="2" t="s">
        <v>29</v>
      </c>
      <c r="L7" s="2" t="s">
        <v>30</v>
      </c>
      <c r="M7" s="4">
        <v>2025</v>
      </c>
      <c r="N7" s="4">
        <v>8</v>
      </c>
      <c r="O7" s="12" t="s">
        <v>24</v>
      </c>
      <c r="P7" s="2" t="s">
        <v>2065</v>
      </c>
      <c r="Q7" s="2" t="s">
        <v>32</v>
      </c>
      <c r="R7" s="2" t="s">
        <v>33</v>
      </c>
      <c r="S7" s="2" t="s">
        <v>34</v>
      </c>
    </row>
    <row r="8" spans="2:19" x14ac:dyDescent="0.35">
      <c r="B8" s="2" t="s">
        <v>2024</v>
      </c>
      <c r="C8" s="2">
        <f>MODE(O4:O353)</f>
        <v>9</v>
      </c>
      <c r="D8" s="2">
        <f>MODE(N4:N353)</f>
        <v>16</v>
      </c>
      <c r="E8" s="2" t="s">
        <v>2027</v>
      </c>
      <c r="K8" s="2" t="s">
        <v>35</v>
      </c>
      <c r="L8" s="2" t="s">
        <v>36</v>
      </c>
      <c r="M8" s="4">
        <v>2020</v>
      </c>
      <c r="N8" s="4">
        <v>16</v>
      </c>
      <c r="O8" s="12" t="s">
        <v>24</v>
      </c>
      <c r="P8" s="2" t="s">
        <v>2066</v>
      </c>
      <c r="Q8" s="2" t="s">
        <v>38</v>
      </c>
      <c r="R8" s="2" t="s">
        <v>39</v>
      </c>
      <c r="S8" s="2" t="s">
        <v>40</v>
      </c>
    </row>
    <row r="9" spans="2:19" x14ac:dyDescent="0.35">
      <c r="B9" s="21" t="s">
        <v>2043</v>
      </c>
      <c r="C9" s="21"/>
      <c r="D9" s="21"/>
      <c r="E9" s="21"/>
      <c r="K9" s="2" t="s">
        <v>41</v>
      </c>
      <c r="L9" s="2" t="s">
        <v>42</v>
      </c>
      <c r="M9" s="4">
        <v>2020</v>
      </c>
      <c r="N9" s="4">
        <v>12</v>
      </c>
      <c r="O9" s="12" t="s">
        <v>24</v>
      </c>
      <c r="P9" s="2" t="s">
        <v>43</v>
      </c>
      <c r="Q9" s="2" t="s">
        <v>44</v>
      </c>
      <c r="R9" s="2" t="s">
        <v>45</v>
      </c>
      <c r="S9" s="2" t="s">
        <v>46</v>
      </c>
    </row>
    <row r="10" spans="2:19" x14ac:dyDescent="0.35">
      <c r="B10" s="2" t="s">
        <v>2028</v>
      </c>
      <c r="C10" s="3">
        <f>MAX(O4:O353)</f>
        <v>9</v>
      </c>
      <c r="D10" s="5">
        <f>MAX(N4:N353)</f>
        <v>133</v>
      </c>
      <c r="E10" s="2" t="s">
        <v>2055</v>
      </c>
      <c r="K10" s="2" t="s">
        <v>47</v>
      </c>
      <c r="L10" s="2" t="s">
        <v>48</v>
      </c>
      <c r="M10" s="4">
        <v>2021</v>
      </c>
      <c r="N10" s="4">
        <v>12</v>
      </c>
      <c r="O10" s="12" t="s">
        <v>24</v>
      </c>
      <c r="P10" s="2" t="s">
        <v>49</v>
      </c>
      <c r="Q10" s="2" t="s">
        <v>44</v>
      </c>
      <c r="R10" s="2" t="s">
        <v>50</v>
      </c>
      <c r="S10" s="2" t="s">
        <v>46</v>
      </c>
    </row>
    <row r="11" spans="2:19" x14ac:dyDescent="0.35">
      <c r="B11" s="2" t="s">
        <v>2029</v>
      </c>
      <c r="C11" s="3">
        <f>MIN(O4:O353)</f>
        <v>8</v>
      </c>
      <c r="D11" s="3">
        <f>MIN(N4:N353)</f>
        <v>1</v>
      </c>
      <c r="E11" s="2" t="s">
        <v>2056</v>
      </c>
      <c r="K11" s="2" t="s">
        <v>51</v>
      </c>
      <c r="L11" s="2" t="s">
        <v>52</v>
      </c>
      <c r="M11" s="4">
        <v>2018</v>
      </c>
      <c r="N11" s="4">
        <v>16</v>
      </c>
      <c r="O11" s="12" t="s">
        <v>24</v>
      </c>
      <c r="P11" s="2" t="s">
        <v>53</v>
      </c>
      <c r="Q11" s="2" t="s">
        <v>54</v>
      </c>
      <c r="R11" s="2" t="s">
        <v>55</v>
      </c>
      <c r="S11" s="2" t="s">
        <v>56</v>
      </c>
    </row>
    <row r="12" spans="2:19" x14ac:dyDescent="0.35">
      <c r="B12" s="2" t="s">
        <v>2031</v>
      </c>
      <c r="C12" s="2">
        <f>C10-C11</f>
        <v>1</v>
      </c>
      <c r="D12" s="2">
        <f>D10-D11</f>
        <v>132</v>
      </c>
      <c r="E12" s="2" t="s">
        <v>2034</v>
      </c>
      <c r="K12" s="2" t="s">
        <v>57</v>
      </c>
      <c r="L12" s="2" t="s">
        <v>58</v>
      </c>
      <c r="M12" s="4">
        <v>2015</v>
      </c>
      <c r="N12" s="4">
        <v>20</v>
      </c>
      <c r="O12" s="12" t="s">
        <v>24</v>
      </c>
      <c r="P12" s="2" t="s">
        <v>59</v>
      </c>
      <c r="Q12" s="2" t="s">
        <v>60</v>
      </c>
      <c r="R12" s="2" t="s">
        <v>61</v>
      </c>
      <c r="S12" s="2" t="s">
        <v>62</v>
      </c>
    </row>
    <row r="13" spans="2:19" x14ac:dyDescent="0.35">
      <c r="B13" s="2" t="s">
        <v>2032</v>
      </c>
      <c r="C13" s="3">
        <f>_xlfn.VAR.S(O4:O353)</f>
        <v>0.24264705882352938</v>
      </c>
      <c r="D13" s="3">
        <f>_xlfn.VAR.S(N4:N353)</f>
        <v>212.16724519033974</v>
      </c>
      <c r="E13" s="2" t="s">
        <v>2036</v>
      </c>
      <c r="K13" s="2" t="s">
        <v>63</v>
      </c>
      <c r="L13" s="2" t="s">
        <v>64</v>
      </c>
      <c r="M13" s="4">
        <v>2022</v>
      </c>
      <c r="N13" s="4">
        <v>8</v>
      </c>
      <c r="O13" s="12" t="s">
        <v>24</v>
      </c>
      <c r="P13" s="2" t="s">
        <v>65</v>
      </c>
      <c r="Q13" s="2" t="s">
        <v>66</v>
      </c>
      <c r="R13" s="2" t="s">
        <v>67</v>
      </c>
      <c r="S13" s="2" t="s">
        <v>68</v>
      </c>
    </row>
    <row r="14" spans="2:19" x14ac:dyDescent="0.35">
      <c r="B14" s="2" t="s">
        <v>2030</v>
      </c>
      <c r="C14" s="3">
        <f>_xlfn.STDEV.S(O4:O353)</f>
        <v>0.49259218307188896</v>
      </c>
      <c r="D14" s="3">
        <f>_xlfn.STDEV.S(N4:N353)</f>
        <v>14.56596186972696</v>
      </c>
      <c r="E14" s="2" t="s">
        <v>2035</v>
      </c>
      <c r="K14" s="2" t="s">
        <v>69</v>
      </c>
      <c r="L14" s="2" t="s">
        <v>70</v>
      </c>
      <c r="M14" s="4">
        <v>2017</v>
      </c>
      <c r="N14" s="4">
        <v>16</v>
      </c>
      <c r="O14" s="12" t="s">
        <v>24</v>
      </c>
      <c r="P14" s="2" t="s">
        <v>71</v>
      </c>
      <c r="Q14" s="2" t="s">
        <v>72</v>
      </c>
      <c r="R14" s="2" t="s">
        <v>73</v>
      </c>
      <c r="S14" s="2" t="s">
        <v>74</v>
      </c>
    </row>
    <row r="15" spans="2:19" x14ac:dyDescent="0.35">
      <c r="B15" s="2" t="s">
        <v>2039</v>
      </c>
      <c r="C15" s="2">
        <f>_xlfn.QUARTILE.INC(O4:O353,1)</f>
        <v>8</v>
      </c>
      <c r="D15" s="2">
        <f>_xlfn.QUARTILE.INC(N4:N353,1)</f>
        <v>12</v>
      </c>
      <c r="E15" s="2" t="s">
        <v>2037</v>
      </c>
      <c r="K15" s="2" t="s">
        <v>75</v>
      </c>
      <c r="L15" s="2" t="s">
        <v>76</v>
      </c>
      <c r="M15" s="4">
        <v>2024</v>
      </c>
      <c r="N15" s="4">
        <v>16</v>
      </c>
      <c r="O15" s="12">
        <v>9</v>
      </c>
      <c r="P15" s="2" t="s">
        <v>77</v>
      </c>
      <c r="Q15" s="2" t="s">
        <v>78</v>
      </c>
      <c r="R15" s="2" t="s">
        <v>79</v>
      </c>
      <c r="S15" s="2" t="s">
        <v>80</v>
      </c>
    </row>
    <row r="16" spans="2:19" x14ac:dyDescent="0.35">
      <c r="B16" s="2" t="s">
        <v>2040</v>
      </c>
      <c r="C16" s="4">
        <f>_xlfn.QUARTILE.INC(O5:O354,3)</f>
        <v>9</v>
      </c>
      <c r="D16" s="4">
        <f>_xlfn.QUARTILE.INC(N5:N354,3)</f>
        <v>16</v>
      </c>
      <c r="E16" s="2" t="s">
        <v>2038</v>
      </c>
      <c r="K16" s="2" t="s">
        <v>81</v>
      </c>
      <c r="L16" s="2" t="s">
        <v>82</v>
      </c>
      <c r="M16" s="4">
        <v>2022</v>
      </c>
      <c r="N16" s="4">
        <v>20</v>
      </c>
      <c r="O16" s="12">
        <v>9</v>
      </c>
      <c r="P16" s="2" t="s">
        <v>83</v>
      </c>
      <c r="Q16" s="2" t="s">
        <v>84</v>
      </c>
      <c r="R16" s="2" t="s">
        <v>85</v>
      </c>
      <c r="S16" s="2" t="s">
        <v>86</v>
      </c>
    </row>
    <row r="17" spans="2:19" x14ac:dyDescent="0.35">
      <c r="B17" s="2" t="s">
        <v>2033</v>
      </c>
      <c r="C17" s="2">
        <f>C16-C15</f>
        <v>1</v>
      </c>
      <c r="D17" s="2">
        <f>D16-D15</f>
        <v>4</v>
      </c>
      <c r="E17" s="2" t="s">
        <v>2041</v>
      </c>
      <c r="K17" s="2" t="s">
        <v>87</v>
      </c>
      <c r="L17" s="2" t="s">
        <v>88</v>
      </c>
      <c r="M17" s="4">
        <v>2025</v>
      </c>
      <c r="N17" s="4">
        <v>10</v>
      </c>
      <c r="O17" s="12">
        <v>9</v>
      </c>
      <c r="P17" s="2" t="s">
        <v>89</v>
      </c>
      <c r="Q17" s="2" t="s">
        <v>90</v>
      </c>
      <c r="R17" s="2" t="s">
        <v>91</v>
      </c>
      <c r="S17" s="2" t="s">
        <v>92</v>
      </c>
    </row>
    <row r="18" spans="2:19" x14ac:dyDescent="0.35">
      <c r="B18" s="21" t="s">
        <v>2042</v>
      </c>
      <c r="C18" s="21"/>
      <c r="D18" s="21"/>
      <c r="E18" s="21"/>
      <c r="G18" t="s">
        <v>2052</v>
      </c>
      <c r="K18" s="2" t="s">
        <v>93</v>
      </c>
      <c r="L18" s="2" t="s">
        <v>94</v>
      </c>
      <c r="M18" s="4">
        <v>2022</v>
      </c>
      <c r="N18" s="4">
        <v>16</v>
      </c>
      <c r="O18" s="12">
        <v>9</v>
      </c>
      <c r="P18" s="2" t="s">
        <v>95</v>
      </c>
      <c r="Q18" s="2" t="s">
        <v>96</v>
      </c>
      <c r="R18" s="2" t="s">
        <v>97</v>
      </c>
      <c r="S18" s="2" t="s">
        <v>98</v>
      </c>
    </row>
    <row r="19" spans="2:19" x14ac:dyDescent="0.35">
      <c r="B19" s="2" t="s">
        <v>2045</v>
      </c>
      <c r="C19" s="3">
        <f>SKEW(O4:O353)</f>
        <v>-0.67669229189673274</v>
      </c>
      <c r="D19" s="3">
        <f>SKEW(N4:N353)</f>
        <v>4.9156684854179593</v>
      </c>
      <c r="E19" s="2" t="s">
        <v>2046</v>
      </c>
      <c r="K19" s="2" t="s">
        <v>99</v>
      </c>
      <c r="L19" s="2" t="s">
        <v>100</v>
      </c>
      <c r="M19" s="4">
        <v>2020</v>
      </c>
      <c r="N19" s="4">
        <v>20</v>
      </c>
      <c r="O19" s="12">
        <v>9</v>
      </c>
      <c r="P19" s="2" t="s">
        <v>2067</v>
      </c>
      <c r="Q19" s="2" t="s">
        <v>102</v>
      </c>
      <c r="R19" s="2" t="s">
        <v>103</v>
      </c>
      <c r="S19" s="2" t="s">
        <v>104</v>
      </c>
    </row>
    <row r="20" spans="2:19" ht="29" x14ac:dyDescent="0.35">
      <c r="B20" s="6" t="s">
        <v>2047</v>
      </c>
      <c r="C20" s="6" t="str">
        <f>IF(ABS(SKEW(O4:O353))&lt;0.5, "Symmetric", IF(SKEW(O4:O353)&gt;0, "Right Skewed","Left Skewed"))</f>
        <v>Left Skewed</v>
      </c>
      <c r="D20" s="6" t="str">
        <f>IF(ABS(SKEW(N4:N353))&lt;0.5, "Symmetric", IF(SKEW(N4:N353)&gt;0, "Right Skewed","Left Skewed"))</f>
        <v>Right Skewed</v>
      </c>
      <c r="E20" s="7" t="s">
        <v>2054</v>
      </c>
      <c r="K20" s="2" t="s">
        <v>105</v>
      </c>
      <c r="L20" s="2" t="s">
        <v>106</v>
      </c>
      <c r="M20" s="4">
        <v>2018</v>
      </c>
      <c r="N20" s="4">
        <v>16</v>
      </c>
      <c r="O20" s="12">
        <v>9</v>
      </c>
      <c r="P20" s="2" t="s">
        <v>107</v>
      </c>
      <c r="Q20" s="2" t="s">
        <v>108</v>
      </c>
      <c r="R20" s="2" t="s">
        <v>109</v>
      </c>
      <c r="S20" s="2" t="s">
        <v>110</v>
      </c>
    </row>
    <row r="21" spans="2:19" x14ac:dyDescent="0.35">
      <c r="B21" s="21" t="s">
        <v>2048</v>
      </c>
      <c r="C21" s="21"/>
      <c r="D21" s="21"/>
      <c r="E21" s="21"/>
      <c r="K21" s="2" t="s">
        <v>111</v>
      </c>
      <c r="L21" s="2" t="s">
        <v>112</v>
      </c>
      <c r="M21" s="4">
        <v>2020</v>
      </c>
      <c r="N21" s="4">
        <v>16</v>
      </c>
      <c r="O21" s="12">
        <v>9</v>
      </c>
      <c r="P21" s="2" t="s">
        <v>2068</v>
      </c>
      <c r="Q21" s="2" t="s">
        <v>114</v>
      </c>
      <c r="R21" s="2" t="s">
        <v>115</v>
      </c>
      <c r="S21" s="2" t="s">
        <v>116</v>
      </c>
    </row>
    <row r="22" spans="2:19" x14ac:dyDescent="0.35">
      <c r="B22" s="2" t="s">
        <v>2049</v>
      </c>
      <c r="C22" s="20">
        <f>CORREL(O4:O353,N4:N353)</f>
        <v>0.2712960573904416</v>
      </c>
      <c r="D22" s="20"/>
      <c r="E22" s="8" t="s">
        <v>2053</v>
      </c>
      <c r="K22" s="2" t="s">
        <v>117</v>
      </c>
      <c r="L22" s="2" t="s">
        <v>118</v>
      </c>
      <c r="M22" s="4">
        <v>2019</v>
      </c>
      <c r="N22" s="4">
        <v>16</v>
      </c>
      <c r="O22" s="12">
        <v>9</v>
      </c>
      <c r="P22" s="2" t="s">
        <v>119</v>
      </c>
      <c r="Q22" s="2" t="s">
        <v>120</v>
      </c>
      <c r="R22" s="2" t="s">
        <v>121</v>
      </c>
      <c r="S22" s="2" t="s">
        <v>122</v>
      </c>
    </row>
    <row r="23" spans="2:19" x14ac:dyDescent="0.35">
      <c r="B23" s="2" t="s">
        <v>2050</v>
      </c>
      <c r="C23" s="20">
        <f>_xlfn.COVARIANCE.S(O4:O353, N4:N353)</f>
        <v>0.4485294117647059</v>
      </c>
      <c r="D23" s="20"/>
      <c r="E23" s="2" t="s">
        <v>2051</v>
      </c>
      <c r="K23" s="2" t="s">
        <v>123</v>
      </c>
      <c r="L23" s="2" t="s">
        <v>124</v>
      </c>
      <c r="M23" s="4">
        <v>2021</v>
      </c>
      <c r="N23" s="4">
        <v>20</v>
      </c>
      <c r="O23" s="12">
        <v>9</v>
      </c>
      <c r="P23" s="2" t="s">
        <v>125</v>
      </c>
      <c r="Q23" s="2" t="s">
        <v>126</v>
      </c>
      <c r="R23" s="2" t="s">
        <v>127</v>
      </c>
      <c r="S23" s="2" t="s">
        <v>128</v>
      </c>
    </row>
    <row r="24" spans="2:19" x14ac:dyDescent="0.35">
      <c r="K24" s="2" t="s">
        <v>129</v>
      </c>
      <c r="L24" s="2" t="s">
        <v>130</v>
      </c>
      <c r="M24" s="4">
        <v>2021</v>
      </c>
      <c r="N24" s="4">
        <v>12</v>
      </c>
      <c r="O24" s="12">
        <v>9</v>
      </c>
      <c r="P24" s="2" t="s">
        <v>131</v>
      </c>
      <c r="Q24" s="2" t="s">
        <v>132</v>
      </c>
      <c r="R24" s="2" t="s">
        <v>133</v>
      </c>
      <c r="S24" s="2" t="s">
        <v>134</v>
      </c>
    </row>
    <row r="25" spans="2:19" x14ac:dyDescent="0.35">
      <c r="B25" s="17" t="s">
        <v>2059</v>
      </c>
      <c r="C25" s="17"/>
      <c r="D25" s="17"/>
      <c r="E25" s="17"/>
      <c r="K25" s="2" t="s">
        <v>135</v>
      </c>
      <c r="L25" s="2" t="s">
        <v>136</v>
      </c>
      <c r="M25" s="4">
        <v>2016</v>
      </c>
      <c r="N25" s="4">
        <v>16</v>
      </c>
      <c r="O25" s="12">
        <v>9</v>
      </c>
      <c r="P25" s="2" t="s">
        <v>137</v>
      </c>
      <c r="Q25" s="2" t="s">
        <v>138</v>
      </c>
      <c r="R25" s="2" t="s">
        <v>139</v>
      </c>
      <c r="S25" s="2" t="s">
        <v>140</v>
      </c>
    </row>
    <row r="26" spans="2:19" x14ac:dyDescent="0.35">
      <c r="B26" s="2" t="s">
        <v>2060</v>
      </c>
      <c r="C26" s="13" t="s">
        <v>2184</v>
      </c>
      <c r="D26" s="13"/>
      <c r="E26" s="13"/>
      <c r="K26" s="2" t="s">
        <v>141</v>
      </c>
      <c r="L26" s="2" t="s">
        <v>142</v>
      </c>
      <c r="M26" s="4">
        <v>2018</v>
      </c>
      <c r="N26" s="4">
        <v>24</v>
      </c>
      <c r="O26" s="12" t="s">
        <v>143</v>
      </c>
      <c r="P26" s="2" t="s">
        <v>2069</v>
      </c>
      <c r="Q26" s="2" t="s">
        <v>145</v>
      </c>
      <c r="R26" s="2" t="s">
        <v>146</v>
      </c>
      <c r="S26" s="2" t="s">
        <v>147</v>
      </c>
    </row>
    <row r="27" spans="2:19" x14ac:dyDescent="0.35">
      <c r="B27" s="2" t="s">
        <v>2057</v>
      </c>
      <c r="C27" s="14" t="s">
        <v>2058</v>
      </c>
      <c r="D27" s="15"/>
      <c r="E27" s="16"/>
      <c r="K27" s="2" t="s">
        <v>148</v>
      </c>
      <c r="L27" s="2" t="s">
        <v>149</v>
      </c>
      <c r="M27" s="4">
        <v>2021</v>
      </c>
      <c r="N27" s="4">
        <v>12</v>
      </c>
      <c r="O27" s="12" t="s">
        <v>143</v>
      </c>
      <c r="P27" s="2" t="s">
        <v>150</v>
      </c>
      <c r="Q27" s="2" t="s">
        <v>151</v>
      </c>
      <c r="R27" s="2" t="s">
        <v>152</v>
      </c>
      <c r="S27" s="2" t="s">
        <v>153</v>
      </c>
    </row>
    <row r="28" spans="2:19" x14ac:dyDescent="0.35">
      <c r="B28" s="11" t="s">
        <v>2063</v>
      </c>
      <c r="C28" s="14" t="s">
        <v>2187</v>
      </c>
      <c r="D28" s="15"/>
      <c r="E28" s="16"/>
      <c r="K28" s="2" t="s">
        <v>154</v>
      </c>
      <c r="L28" s="2" t="s">
        <v>155</v>
      </c>
      <c r="M28" s="4">
        <v>2020</v>
      </c>
      <c r="N28" s="4">
        <v>6</v>
      </c>
      <c r="O28" s="12" t="s">
        <v>143</v>
      </c>
      <c r="P28" s="2" t="s">
        <v>156</v>
      </c>
      <c r="Q28" s="2" t="s">
        <v>157</v>
      </c>
      <c r="R28" s="2" t="s">
        <v>158</v>
      </c>
      <c r="S28" s="2" t="s">
        <v>159</v>
      </c>
    </row>
    <row r="29" spans="2:19" ht="30.5" customHeight="1" x14ac:dyDescent="0.35">
      <c r="B29" s="6" t="s">
        <v>2175</v>
      </c>
      <c r="C29" s="19" t="s">
        <v>2176</v>
      </c>
      <c r="D29" s="19"/>
      <c r="E29" s="19"/>
      <c r="K29" s="2" t="s">
        <v>160</v>
      </c>
      <c r="L29" s="2" t="s">
        <v>161</v>
      </c>
      <c r="M29" s="4">
        <v>2023</v>
      </c>
      <c r="N29" s="4">
        <v>14</v>
      </c>
      <c r="O29" s="12" t="s">
        <v>143</v>
      </c>
      <c r="P29" s="2" t="s">
        <v>162</v>
      </c>
      <c r="Q29" s="2" t="s">
        <v>163</v>
      </c>
      <c r="R29" s="2" t="s">
        <v>164</v>
      </c>
      <c r="S29" s="2" t="s">
        <v>165</v>
      </c>
    </row>
    <row r="30" spans="2:19" x14ac:dyDescent="0.35">
      <c r="B30" s="11" t="s">
        <v>2174</v>
      </c>
      <c r="C30" s="13" t="s">
        <v>2185</v>
      </c>
      <c r="D30" s="13"/>
      <c r="E30" s="13"/>
      <c r="K30" s="2" t="s">
        <v>166</v>
      </c>
      <c r="L30" s="2" t="s">
        <v>167</v>
      </c>
      <c r="M30" s="4">
        <v>2022</v>
      </c>
      <c r="N30" s="4">
        <v>8</v>
      </c>
      <c r="O30" s="12" t="s">
        <v>143</v>
      </c>
      <c r="P30" s="2" t="s">
        <v>168</v>
      </c>
      <c r="Q30" s="2" t="s">
        <v>169</v>
      </c>
      <c r="R30" s="2" t="s">
        <v>170</v>
      </c>
      <c r="S30" s="2" t="s">
        <v>171</v>
      </c>
    </row>
    <row r="31" spans="2:19" x14ac:dyDescent="0.35">
      <c r="B31" s="2" t="s">
        <v>2177</v>
      </c>
      <c r="C31" s="13" t="s">
        <v>2178</v>
      </c>
      <c r="D31" s="13"/>
      <c r="E31" s="13"/>
      <c r="K31" s="2" t="s">
        <v>172</v>
      </c>
      <c r="L31" s="2" t="s">
        <v>173</v>
      </c>
      <c r="M31" s="4">
        <v>2018</v>
      </c>
      <c r="N31" s="4">
        <v>20</v>
      </c>
      <c r="O31" s="12" t="s">
        <v>143</v>
      </c>
      <c r="P31" s="2" t="s">
        <v>174</v>
      </c>
      <c r="Q31" s="2" t="s">
        <v>175</v>
      </c>
      <c r="R31" s="2" t="s">
        <v>176</v>
      </c>
      <c r="S31" s="2" t="s">
        <v>177</v>
      </c>
    </row>
    <row r="32" spans="2:19" x14ac:dyDescent="0.35">
      <c r="K32" s="2" t="s">
        <v>178</v>
      </c>
      <c r="L32" s="2" t="s">
        <v>179</v>
      </c>
      <c r="M32" s="4">
        <v>2022</v>
      </c>
      <c r="N32" s="4">
        <v>16</v>
      </c>
      <c r="O32" s="12" t="s">
        <v>143</v>
      </c>
      <c r="P32" s="2" t="s">
        <v>180</v>
      </c>
      <c r="Q32" s="2" t="s">
        <v>181</v>
      </c>
      <c r="R32" s="2" t="s">
        <v>182</v>
      </c>
      <c r="S32" s="2" t="s">
        <v>183</v>
      </c>
    </row>
    <row r="33" spans="2:19" x14ac:dyDescent="0.35">
      <c r="B33" s="17" t="s">
        <v>2179</v>
      </c>
      <c r="C33" s="17"/>
      <c r="D33" s="17"/>
      <c r="E33" s="17"/>
      <c r="K33" s="2" t="s">
        <v>184</v>
      </c>
      <c r="L33" s="2" t="s">
        <v>185</v>
      </c>
      <c r="M33" s="4">
        <v>2014</v>
      </c>
      <c r="N33" s="4">
        <v>20</v>
      </c>
      <c r="O33" s="12" t="s">
        <v>143</v>
      </c>
      <c r="P33" s="2" t="s">
        <v>186</v>
      </c>
      <c r="Q33" s="2" t="s">
        <v>187</v>
      </c>
      <c r="R33" s="2" t="s">
        <v>188</v>
      </c>
      <c r="S33" s="2" t="s">
        <v>189</v>
      </c>
    </row>
    <row r="34" spans="2:19" x14ac:dyDescent="0.35">
      <c r="B34" s="2" t="s">
        <v>2180</v>
      </c>
      <c r="C34" s="13" t="s">
        <v>2188</v>
      </c>
      <c r="D34" s="13"/>
      <c r="E34" s="13"/>
      <c r="K34" s="2" t="s">
        <v>190</v>
      </c>
      <c r="L34" s="2" t="s">
        <v>191</v>
      </c>
      <c r="M34" s="4">
        <v>2017</v>
      </c>
      <c r="N34" s="4">
        <v>16</v>
      </c>
      <c r="O34" s="12" t="s">
        <v>143</v>
      </c>
      <c r="P34" s="2" t="s">
        <v>2070</v>
      </c>
      <c r="Q34" s="2" t="s">
        <v>193</v>
      </c>
      <c r="R34" s="2" t="s">
        <v>194</v>
      </c>
      <c r="S34" s="2" t="s">
        <v>195</v>
      </c>
    </row>
    <row r="35" spans="2:19" x14ac:dyDescent="0.35">
      <c r="B35" s="2" t="s">
        <v>2181</v>
      </c>
      <c r="C35" s="13" t="s">
        <v>2062</v>
      </c>
      <c r="D35" s="13"/>
      <c r="E35" s="13"/>
      <c r="K35" s="2" t="s">
        <v>196</v>
      </c>
      <c r="L35" s="2" t="s">
        <v>197</v>
      </c>
      <c r="M35" s="4">
        <v>2022</v>
      </c>
      <c r="N35" s="4">
        <v>16</v>
      </c>
      <c r="O35" s="12" t="s">
        <v>198</v>
      </c>
      <c r="P35" s="2" t="s">
        <v>2071</v>
      </c>
      <c r="Q35" s="2" t="s">
        <v>200</v>
      </c>
      <c r="R35" s="2" t="s">
        <v>201</v>
      </c>
      <c r="S35" s="2" t="s">
        <v>202</v>
      </c>
    </row>
    <row r="36" spans="2:19" ht="30.5" customHeight="1" x14ac:dyDescent="0.35">
      <c r="B36" s="11" t="s">
        <v>2182</v>
      </c>
      <c r="C36" s="19" t="s">
        <v>2189</v>
      </c>
      <c r="D36" s="19"/>
      <c r="E36" s="19"/>
      <c r="K36" s="2" t="s">
        <v>203</v>
      </c>
      <c r="L36" s="2" t="s">
        <v>204</v>
      </c>
      <c r="M36" s="4">
        <v>2023</v>
      </c>
      <c r="N36" s="4">
        <v>12</v>
      </c>
      <c r="O36" s="12" t="s">
        <v>198</v>
      </c>
      <c r="P36" s="2" t="s">
        <v>205</v>
      </c>
      <c r="Q36" s="2" t="s">
        <v>206</v>
      </c>
      <c r="R36" s="2" t="s">
        <v>207</v>
      </c>
      <c r="S36" s="2" t="s">
        <v>208</v>
      </c>
    </row>
    <row r="37" spans="2:19" x14ac:dyDescent="0.35">
      <c r="B37" s="2" t="s">
        <v>2183</v>
      </c>
      <c r="C37" s="13" t="s">
        <v>2173</v>
      </c>
      <c r="D37" s="13"/>
      <c r="E37" s="13"/>
      <c r="K37" s="2" t="s">
        <v>209</v>
      </c>
      <c r="L37" s="2" t="s">
        <v>210</v>
      </c>
      <c r="M37" s="4">
        <v>2021</v>
      </c>
      <c r="N37" s="4">
        <v>17</v>
      </c>
      <c r="O37" s="12" t="s">
        <v>198</v>
      </c>
      <c r="P37" s="2" t="s">
        <v>2072</v>
      </c>
      <c r="Q37" s="2" t="s">
        <v>212</v>
      </c>
      <c r="R37" s="2" t="s">
        <v>213</v>
      </c>
      <c r="S37" s="2" t="s">
        <v>214</v>
      </c>
    </row>
    <row r="38" spans="2:19" x14ac:dyDescent="0.35">
      <c r="B38" s="2" t="s">
        <v>2186</v>
      </c>
      <c r="C38" s="13" t="s">
        <v>2064</v>
      </c>
      <c r="D38" s="13"/>
      <c r="E38" s="13"/>
      <c r="K38" s="2" t="s">
        <v>215</v>
      </c>
      <c r="L38" s="2" t="s">
        <v>216</v>
      </c>
      <c r="M38" s="4">
        <v>2016</v>
      </c>
      <c r="N38" s="4">
        <v>16</v>
      </c>
      <c r="O38" s="12" t="s">
        <v>198</v>
      </c>
      <c r="P38" s="2" t="s">
        <v>217</v>
      </c>
      <c r="Q38" s="2" t="s">
        <v>218</v>
      </c>
      <c r="R38" s="2" t="s">
        <v>219</v>
      </c>
      <c r="S38" s="2" t="s">
        <v>220</v>
      </c>
    </row>
    <row r="39" spans="2:19" x14ac:dyDescent="0.35">
      <c r="K39" s="2" t="s">
        <v>221</v>
      </c>
      <c r="L39" s="2" t="s">
        <v>222</v>
      </c>
      <c r="M39" s="4">
        <v>2020</v>
      </c>
      <c r="N39" s="4">
        <v>16</v>
      </c>
      <c r="O39" s="12" t="s">
        <v>198</v>
      </c>
      <c r="P39" s="2" t="s">
        <v>223</v>
      </c>
      <c r="Q39" s="2" t="s">
        <v>224</v>
      </c>
      <c r="R39" s="2" t="s">
        <v>225</v>
      </c>
      <c r="S39" s="2" t="s">
        <v>226</v>
      </c>
    </row>
    <row r="40" spans="2:19" x14ac:dyDescent="0.35">
      <c r="K40" s="2" t="s">
        <v>227</v>
      </c>
      <c r="L40" s="2" t="s">
        <v>228</v>
      </c>
      <c r="M40" s="4">
        <v>2021</v>
      </c>
      <c r="N40" s="4">
        <v>20</v>
      </c>
      <c r="O40" s="12" t="s">
        <v>229</v>
      </c>
      <c r="P40" s="2" t="s">
        <v>2148</v>
      </c>
      <c r="Q40" s="2" t="s">
        <v>138</v>
      </c>
      <c r="R40" s="2" t="s">
        <v>231</v>
      </c>
      <c r="S40" s="2" t="s">
        <v>232</v>
      </c>
    </row>
    <row r="41" spans="2:19" x14ac:dyDescent="0.35">
      <c r="K41" s="2" t="s">
        <v>233</v>
      </c>
      <c r="L41" s="2" t="s">
        <v>234</v>
      </c>
      <c r="M41" s="4">
        <v>2019</v>
      </c>
      <c r="N41" s="4">
        <v>6</v>
      </c>
      <c r="O41" s="12" t="s">
        <v>198</v>
      </c>
      <c r="P41" s="2" t="s">
        <v>235</v>
      </c>
      <c r="Q41" s="2" t="s">
        <v>236</v>
      </c>
      <c r="R41" s="2" t="s">
        <v>237</v>
      </c>
      <c r="S41" s="2" t="s">
        <v>238</v>
      </c>
    </row>
    <row r="42" spans="2:19" x14ac:dyDescent="0.35">
      <c r="K42" s="2" t="s">
        <v>239</v>
      </c>
      <c r="L42" s="2" t="s">
        <v>240</v>
      </c>
      <c r="M42" s="4">
        <v>2016</v>
      </c>
      <c r="N42" s="4">
        <v>16</v>
      </c>
      <c r="O42" s="12" t="s">
        <v>198</v>
      </c>
      <c r="P42" s="2" t="s">
        <v>241</v>
      </c>
      <c r="Q42" s="2" t="s">
        <v>242</v>
      </c>
      <c r="R42" s="2" t="s">
        <v>243</v>
      </c>
      <c r="S42" s="2" t="s">
        <v>244</v>
      </c>
    </row>
    <row r="43" spans="2:19" x14ac:dyDescent="0.35">
      <c r="K43" s="2" t="s">
        <v>245</v>
      </c>
      <c r="L43" s="2" t="s">
        <v>246</v>
      </c>
      <c r="M43" s="4">
        <v>2021</v>
      </c>
      <c r="N43" s="4">
        <v>6</v>
      </c>
      <c r="O43" s="12" t="s">
        <v>198</v>
      </c>
      <c r="P43" s="2" t="s">
        <v>247</v>
      </c>
      <c r="Q43" s="2" t="s">
        <v>248</v>
      </c>
      <c r="R43" s="2" t="s">
        <v>249</v>
      </c>
      <c r="S43" s="2" t="s">
        <v>250</v>
      </c>
    </row>
    <row r="44" spans="2:19" x14ac:dyDescent="0.35">
      <c r="K44" s="2" t="s">
        <v>251</v>
      </c>
      <c r="L44" s="2" t="s">
        <v>252</v>
      </c>
      <c r="M44" s="4">
        <v>2021</v>
      </c>
      <c r="N44" s="4">
        <v>16</v>
      </c>
      <c r="O44" s="12" t="s">
        <v>198</v>
      </c>
      <c r="P44" s="2" t="s">
        <v>253</v>
      </c>
      <c r="Q44" s="2" t="s">
        <v>254</v>
      </c>
      <c r="R44" s="2" t="s">
        <v>255</v>
      </c>
      <c r="S44" s="2" t="s">
        <v>256</v>
      </c>
    </row>
    <row r="45" spans="2:19" x14ac:dyDescent="0.35">
      <c r="K45" s="2" t="s">
        <v>257</v>
      </c>
      <c r="L45" s="2" t="s">
        <v>258</v>
      </c>
      <c r="M45" s="4">
        <v>2020</v>
      </c>
      <c r="N45" s="4">
        <v>21</v>
      </c>
      <c r="O45" s="12" t="s">
        <v>198</v>
      </c>
      <c r="P45" s="2" t="s">
        <v>2073</v>
      </c>
      <c r="Q45" s="2" t="s">
        <v>260</v>
      </c>
      <c r="R45" s="2" t="s">
        <v>261</v>
      </c>
      <c r="S45" s="2" t="s">
        <v>262</v>
      </c>
    </row>
    <row r="46" spans="2:19" x14ac:dyDescent="0.35">
      <c r="K46" s="2" t="s">
        <v>263</v>
      </c>
      <c r="L46" s="2" t="s">
        <v>264</v>
      </c>
      <c r="M46" s="4">
        <v>2021</v>
      </c>
      <c r="N46" s="4">
        <v>12</v>
      </c>
      <c r="O46" s="12" t="s">
        <v>198</v>
      </c>
      <c r="P46" s="2" t="s">
        <v>265</v>
      </c>
      <c r="Q46" s="2" t="s">
        <v>266</v>
      </c>
      <c r="R46" s="2" t="s">
        <v>267</v>
      </c>
      <c r="S46" s="2" t="s">
        <v>268</v>
      </c>
    </row>
    <row r="47" spans="2:19" x14ac:dyDescent="0.35">
      <c r="K47" s="2" t="s">
        <v>269</v>
      </c>
      <c r="L47" s="2" t="s">
        <v>270</v>
      </c>
      <c r="M47" s="4">
        <v>2021</v>
      </c>
      <c r="N47" s="4">
        <v>16</v>
      </c>
      <c r="O47" s="12" t="s">
        <v>198</v>
      </c>
      <c r="P47" s="2" t="s">
        <v>2074</v>
      </c>
      <c r="Q47" s="2" t="s">
        <v>272</v>
      </c>
      <c r="R47" s="2" t="s">
        <v>273</v>
      </c>
      <c r="S47" s="2" t="s">
        <v>274</v>
      </c>
    </row>
    <row r="48" spans="2:19" x14ac:dyDescent="0.35">
      <c r="K48" s="2" t="s">
        <v>275</v>
      </c>
      <c r="L48" s="2" t="s">
        <v>276</v>
      </c>
      <c r="M48" s="4">
        <v>2018</v>
      </c>
      <c r="N48" s="4">
        <v>16</v>
      </c>
      <c r="O48" s="12" t="s">
        <v>198</v>
      </c>
      <c r="P48" s="2" t="s">
        <v>277</v>
      </c>
      <c r="Q48" s="2" t="s">
        <v>278</v>
      </c>
      <c r="R48" s="2" t="s">
        <v>279</v>
      </c>
      <c r="S48" s="2" t="s">
        <v>280</v>
      </c>
    </row>
    <row r="49" spans="11:19" x14ac:dyDescent="0.35">
      <c r="K49" s="2" t="s">
        <v>281</v>
      </c>
      <c r="L49" s="2" t="s">
        <v>282</v>
      </c>
      <c r="M49" s="4">
        <v>2024</v>
      </c>
      <c r="N49" s="4">
        <v>8</v>
      </c>
      <c r="O49" s="12" t="s">
        <v>198</v>
      </c>
      <c r="P49" s="2" t="s">
        <v>2149</v>
      </c>
      <c r="Q49" s="2" t="s">
        <v>284</v>
      </c>
      <c r="R49" s="2" t="s">
        <v>285</v>
      </c>
      <c r="S49" s="2" t="s">
        <v>286</v>
      </c>
    </row>
    <row r="50" spans="11:19" x14ac:dyDescent="0.35">
      <c r="K50" s="2" t="s">
        <v>287</v>
      </c>
      <c r="L50" s="2" t="s">
        <v>288</v>
      </c>
      <c r="M50" s="4">
        <v>2021</v>
      </c>
      <c r="N50" s="4">
        <v>16</v>
      </c>
      <c r="O50" s="12" t="s">
        <v>198</v>
      </c>
      <c r="P50" s="2" t="s">
        <v>289</v>
      </c>
      <c r="Q50" s="2" t="s">
        <v>290</v>
      </c>
      <c r="R50" s="2" t="s">
        <v>291</v>
      </c>
      <c r="S50" s="2" t="s">
        <v>292</v>
      </c>
    </row>
    <row r="51" spans="11:19" x14ac:dyDescent="0.35">
      <c r="K51" s="2" t="s">
        <v>293</v>
      </c>
      <c r="L51" s="2" t="s">
        <v>294</v>
      </c>
      <c r="M51" s="4">
        <v>2021</v>
      </c>
      <c r="N51" s="4">
        <v>16</v>
      </c>
      <c r="O51" s="12" t="s">
        <v>198</v>
      </c>
      <c r="P51" s="2" t="s">
        <v>295</v>
      </c>
      <c r="Q51" s="2" t="s">
        <v>296</v>
      </c>
      <c r="R51" s="2" t="s">
        <v>297</v>
      </c>
      <c r="S51" s="2" t="s">
        <v>298</v>
      </c>
    </row>
    <row r="52" spans="11:19" x14ac:dyDescent="0.35">
      <c r="K52" s="2" t="s">
        <v>299</v>
      </c>
      <c r="L52" s="2" t="s">
        <v>300</v>
      </c>
      <c r="M52" s="4">
        <v>2021</v>
      </c>
      <c r="N52" s="4">
        <v>16</v>
      </c>
      <c r="O52" s="12" t="s">
        <v>198</v>
      </c>
      <c r="P52" s="2" t="s">
        <v>301</v>
      </c>
      <c r="Q52" s="2" t="s">
        <v>302</v>
      </c>
      <c r="R52" s="2" t="s">
        <v>303</v>
      </c>
      <c r="S52" s="2" t="s">
        <v>304</v>
      </c>
    </row>
    <row r="53" spans="11:19" x14ac:dyDescent="0.35">
      <c r="K53" s="2" t="s">
        <v>305</v>
      </c>
      <c r="L53" s="2" t="s">
        <v>306</v>
      </c>
      <c r="M53" s="4">
        <v>2015</v>
      </c>
      <c r="N53" s="4">
        <v>50</v>
      </c>
      <c r="O53" s="12" t="s">
        <v>198</v>
      </c>
      <c r="P53" s="2" t="s">
        <v>307</v>
      </c>
      <c r="Q53" s="2" t="s">
        <v>308</v>
      </c>
      <c r="R53" s="2" t="s">
        <v>309</v>
      </c>
      <c r="S53" s="2" t="s">
        <v>310</v>
      </c>
    </row>
    <row r="54" spans="11:19" x14ac:dyDescent="0.35">
      <c r="K54" s="2" t="s">
        <v>311</v>
      </c>
      <c r="L54" s="2" t="s">
        <v>312</v>
      </c>
      <c r="M54" s="4">
        <v>2021</v>
      </c>
      <c r="N54" s="4">
        <v>13</v>
      </c>
      <c r="O54" s="12" t="s">
        <v>198</v>
      </c>
      <c r="P54" s="2" t="s">
        <v>313</v>
      </c>
      <c r="Q54" s="2" t="s">
        <v>260</v>
      </c>
      <c r="R54" s="2" t="s">
        <v>314</v>
      </c>
      <c r="S54" s="2" t="s">
        <v>315</v>
      </c>
    </row>
    <row r="55" spans="11:19" x14ac:dyDescent="0.35">
      <c r="K55" s="2" t="s">
        <v>316</v>
      </c>
      <c r="L55" s="2" t="s">
        <v>317</v>
      </c>
      <c r="M55" s="4">
        <v>2021</v>
      </c>
      <c r="N55" s="4">
        <v>16</v>
      </c>
      <c r="O55" s="12" t="s">
        <v>229</v>
      </c>
      <c r="P55" s="2" t="s">
        <v>318</v>
      </c>
      <c r="Q55" s="2" t="s">
        <v>319</v>
      </c>
      <c r="R55" s="2" t="s">
        <v>320</v>
      </c>
      <c r="S55" s="2" t="s">
        <v>321</v>
      </c>
    </row>
    <row r="56" spans="11:19" x14ac:dyDescent="0.35">
      <c r="K56" s="2" t="s">
        <v>322</v>
      </c>
      <c r="L56" s="2" t="s">
        <v>323</v>
      </c>
      <c r="M56" s="4">
        <v>2018</v>
      </c>
      <c r="N56" s="4">
        <v>16</v>
      </c>
      <c r="O56" s="12" t="s">
        <v>198</v>
      </c>
      <c r="P56" s="2" t="s">
        <v>324</v>
      </c>
      <c r="Q56" s="2" t="s">
        <v>2061</v>
      </c>
      <c r="R56" s="2" t="s">
        <v>2061</v>
      </c>
      <c r="S56" s="2" t="s">
        <v>2061</v>
      </c>
    </row>
    <row r="57" spans="11:19" x14ac:dyDescent="0.35">
      <c r="K57" s="2" t="s">
        <v>325</v>
      </c>
      <c r="L57" s="2" t="s">
        <v>326</v>
      </c>
      <c r="M57" s="4">
        <v>2016</v>
      </c>
      <c r="N57" s="4">
        <v>16</v>
      </c>
      <c r="O57" s="12" t="s">
        <v>229</v>
      </c>
      <c r="P57" s="2" t="s">
        <v>327</v>
      </c>
      <c r="Q57" s="2" t="s">
        <v>328</v>
      </c>
      <c r="R57" s="2" t="s">
        <v>329</v>
      </c>
      <c r="S57" s="2" t="s">
        <v>330</v>
      </c>
    </row>
    <row r="58" spans="11:19" x14ac:dyDescent="0.35">
      <c r="K58" s="2" t="s">
        <v>331</v>
      </c>
      <c r="L58" s="2" t="s">
        <v>332</v>
      </c>
      <c r="M58" s="4">
        <v>2017</v>
      </c>
      <c r="N58" s="4">
        <v>32</v>
      </c>
      <c r="O58" s="12" t="s">
        <v>229</v>
      </c>
      <c r="P58" s="2" t="s">
        <v>333</v>
      </c>
      <c r="Q58" s="2" t="s">
        <v>334</v>
      </c>
      <c r="R58" s="2" t="s">
        <v>335</v>
      </c>
      <c r="S58" s="2" t="s">
        <v>336</v>
      </c>
    </row>
    <row r="59" spans="11:19" x14ac:dyDescent="0.35">
      <c r="K59" s="2" t="s">
        <v>337</v>
      </c>
      <c r="L59" s="2" t="s">
        <v>338</v>
      </c>
      <c r="M59" s="4">
        <v>2017</v>
      </c>
      <c r="N59" s="4">
        <v>16</v>
      </c>
      <c r="O59" s="12" t="s">
        <v>229</v>
      </c>
      <c r="P59" s="2" t="s">
        <v>339</v>
      </c>
      <c r="Q59" s="2" t="s">
        <v>340</v>
      </c>
      <c r="R59" s="2" t="s">
        <v>341</v>
      </c>
      <c r="S59" s="2" t="s">
        <v>342</v>
      </c>
    </row>
    <row r="60" spans="11:19" x14ac:dyDescent="0.35">
      <c r="K60" s="2" t="s">
        <v>343</v>
      </c>
      <c r="L60" s="2" t="s">
        <v>344</v>
      </c>
      <c r="M60" s="4">
        <v>2020</v>
      </c>
      <c r="N60" s="4">
        <v>16</v>
      </c>
      <c r="O60" s="12" t="s">
        <v>229</v>
      </c>
      <c r="P60" s="2" t="s">
        <v>2075</v>
      </c>
      <c r="Q60" s="2" t="s">
        <v>346</v>
      </c>
      <c r="R60" s="2" t="s">
        <v>347</v>
      </c>
      <c r="S60" s="2" t="s">
        <v>348</v>
      </c>
    </row>
    <row r="61" spans="11:19" x14ac:dyDescent="0.35">
      <c r="K61" s="2" t="s">
        <v>349</v>
      </c>
      <c r="L61" s="2" t="s">
        <v>350</v>
      </c>
      <c r="M61" s="4">
        <v>2024</v>
      </c>
      <c r="N61" s="4">
        <v>16</v>
      </c>
      <c r="O61" s="12" t="s">
        <v>229</v>
      </c>
      <c r="P61" s="2" t="s">
        <v>2076</v>
      </c>
      <c r="Q61" s="2" t="s">
        <v>352</v>
      </c>
      <c r="R61" s="2" t="s">
        <v>353</v>
      </c>
      <c r="S61" s="2" t="s">
        <v>354</v>
      </c>
    </row>
    <row r="62" spans="11:19" x14ac:dyDescent="0.35">
      <c r="K62" s="2" t="s">
        <v>355</v>
      </c>
      <c r="L62" s="2" t="s">
        <v>356</v>
      </c>
      <c r="M62" s="4">
        <v>2019</v>
      </c>
      <c r="N62" s="4">
        <v>6</v>
      </c>
      <c r="O62" s="12" t="s">
        <v>229</v>
      </c>
      <c r="P62" s="2" t="s">
        <v>357</v>
      </c>
      <c r="Q62" s="2" t="s">
        <v>358</v>
      </c>
      <c r="R62" s="2" t="s">
        <v>359</v>
      </c>
      <c r="S62" s="2" t="s">
        <v>360</v>
      </c>
    </row>
    <row r="63" spans="11:19" x14ac:dyDescent="0.35">
      <c r="K63" s="2" t="s">
        <v>361</v>
      </c>
      <c r="L63" s="2" t="s">
        <v>362</v>
      </c>
      <c r="M63" s="4">
        <v>2019</v>
      </c>
      <c r="N63" s="4">
        <v>6</v>
      </c>
      <c r="O63" s="12" t="s">
        <v>229</v>
      </c>
      <c r="P63" s="2" t="s">
        <v>363</v>
      </c>
      <c r="Q63" s="2" t="s">
        <v>358</v>
      </c>
      <c r="R63" s="2" t="s">
        <v>364</v>
      </c>
      <c r="S63" s="2" t="s">
        <v>365</v>
      </c>
    </row>
    <row r="64" spans="11:19" x14ac:dyDescent="0.35">
      <c r="K64" s="2" t="s">
        <v>366</v>
      </c>
      <c r="L64" s="2" t="s">
        <v>367</v>
      </c>
      <c r="M64" s="4">
        <v>2022</v>
      </c>
      <c r="N64" s="4">
        <v>12</v>
      </c>
      <c r="O64" s="12" t="s">
        <v>229</v>
      </c>
      <c r="P64" s="2" t="s">
        <v>2077</v>
      </c>
      <c r="Q64" s="2" t="s">
        <v>369</v>
      </c>
      <c r="R64" s="2" t="s">
        <v>370</v>
      </c>
      <c r="S64" s="2" t="s">
        <v>371</v>
      </c>
    </row>
    <row r="65" spans="11:19" x14ac:dyDescent="0.35">
      <c r="K65" s="2" t="s">
        <v>372</v>
      </c>
      <c r="L65" s="2" t="s">
        <v>373</v>
      </c>
      <c r="M65" s="4">
        <v>2020</v>
      </c>
      <c r="N65" s="4">
        <v>16</v>
      </c>
      <c r="O65" s="12" t="s">
        <v>229</v>
      </c>
      <c r="P65" s="2" t="s">
        <v>2150</v>
      </c>
      <c r="Q65" s="2" t="s">
        <v>375</v>
      </c>
      <c r="R65" s="2" t="s">
        <v>376</v>
      </c>
      <c r="S65" s="2" t="s">
        <v>377</v>
      </c>
    </row>
    <row r="66" spans="11:19" x14ac:dyDescent="0.35">
      <c r="K66" s="2" t="s">
        <v>378</v>
      </c>
      <c r="L66" s="2" t="s">
        <v>379</v>
      </c>
      <c r="M66" s="4">
        <v>2017</v>
      </c>
      <c r="N66" s="4">
        <v>18</v>
      </c>
      <c r="O66" s="12" t="s">
        <v>229</v>
      </c>
      <c r="P66" s="2" t="s">
        <v>2078</v>
      </c>
      <c r="Q66" s="2" t="s">
        <v>193</v>
      </c>
      <c r="R66" s="2" t="s">
        <v>381</v>
      </c>
      <c r="S66" s="2" t="s">
        <v>382</v>
      </c>
    </row>
    <row r="67" spans="11:19" x14ac:dyDescent="0.35">
      <c r="K67" s="2" t="s">
        <v>383</v>
      </c>
      <c r="L67" s="2" t="s">
        <v>384</v>
      </c>
      <c r="M67" s="4">
        <v>2022</v>
      </c>
      <c r="N67" s="4">
        <v>20</v>
      </c>
      <c r="O67" s="12" t="s">
        <v>229</v>
      </c>
      <c r="P67" s="2" t="s">
        <v>385</v>
      </c>
      <c r="Q67" s="2" t="s">
        <v>386</v>
      </c>
      <c r="R67" s="2" t="s">
        <v>387</v>
      </c>
      <c r="S67" s="2" t="s">
        <v>388</v>
      </c>
    </row>
    <row r="68" spans="11:19" x14ac:dyDescent="0.35">
      <c r="K68" s="2" t="s">
        <v>389</v>
      </c>
      <c r="L68" s="2" t="s">
        <v>390</v>
      </c>
      <c r="M68" s="4">
        <v>2020</v>
      </c>
      <c r="N68" s="4">
        <v>10</v>
      </c>
      <c r="O68" s="12" t="s">
        <v>229</v>
      </c>
      <c r="P68" s="2" t="s">
        <v>391</v>
      </c>
      <c r="Q68" s="2" t="s">
        <v>392</v>
      </c>
      <c r="R68" s="2" t="s">
        <v>393</v>
      </c>
      <c r="S68" s="2" t="s">
        <v>394</v>
      </c>
    </row>
    <row r="69" spans="11:19" x14ac:dyDescent="0.35">
      <c r="K69" s="2" t="s">
        <v>395</v>
      </c>
      <c r="L69" s="2" t="s">
        <v>396</v>
      </c>
      <c r="M69" s="4">
        <v>2015</v>
      </c>
      <c r="N69" s="4">
        <v>20</v>
      </c>
      <c r="O69" s="12" t="s">
        <v>229</v>
      </c>
      <c r="P69" s="2" t="s">
        <v>2079</v>
      </c>
      <c r="Q69" s="2" t="s">
        <v>114</v>
      </c>
      <c r="R69" s="2" t="s">
        <v>398</v>
      </c>
      <c r="S69" s="2" t="s">
        <v>399</v>
      </c>
    </row>
    <row r="70" spans="11:19" x14ac:dyDescent="0.35">
      <c r="K70" s="2" t="s">
        <v>400</v>
      </c>
      <c r="L70" s="2" t="s">
        <v>401</v>
      </c>
      <c r="M70" s="4">
        <v>2016</v>
      </c>
      <c r="N70" s="4">
        <v>20</v>
      </c>
      <c r="O70" s="12" t="s">
        <v>229</v>
      </c>
      <c r="P70" s="2" t="s">
        <v>402</v>
      </c>
      <c r="Q70" s="2" t="s">
        <v>403</v>
      </c>
      <c r="R70" s="2" t="s">
        <v>404</v>
      </c>
      <c r="S70" s="2" t="s">
        <v>405</v>
      </c>
    </row>
    <row r="71" spans="11:19" x14ac:dyDescent="0.35">
      <c r="K71" s="2" t="s">
        <v>406</v>
      </c>
      <c r="L71" s="2" t="s">
        <v>407</v>
      </c>
      <c r="M71" s="4">
        <v>2022</v>
      </c>
      <c r="N71" s="4">
        <v>12</v>
      </c>
      <c r="O71" s="12" t="s">
        <v>229</v>
      </c>
      <c r="P71" s="2" t="s">
        <v>408</v>
      </c>
      <c r="Q71" s="2" t="s">
        <v>409</v>
      </c>
      <c r="R71" s="2" t="s">
        <v>410</v>
      </c>
      <c r="S71" s="2" t="s">
        <v>408</v>
      </c>
    </row>
    <row r="72" spans="11:19" x14ac:dyDescent="0.35">
      <c r="K72" s="2" t="s">
        <v>411</v>
      </c>
      <c r="L72" s="2" t="s">
        <v>412</v>
      </c>
      <c r="M72" s="4">
        <v>2014</v>
      </c>
      <c r="N72" s="4">
        <v>20</v>
      </c>
      <c r="O72" s="12" t="s">
        <v>229</v>
      </c>
      <c r="P72" s="2" t="s">
        <v>2080</v>
      </c>
      <c r="Q72" s="2" t="s">
        <v>414</v>
      </c>
      <c r="R72" s="2" t="s">
        <v>415</v>
      </c>
      <c r="S72" s="2" t="s">
        <v>416</v>
      </c>
    </row>
    <row r="73" spans="11:19" x14ac:dyDescent="0.35">
      <c r="K73" s="2" t="s">
        <v>417</v>
      </c>
      <c r="L73" s="2" t="s">
        <v>418</v>
      </c>
      <c r="M73" s="4">
        <v>2017</v>
      </c>
      <c r="N73" s="4">
        <v>16</v>
      </c>
      <c r="O73" s="12" t="s">
        <v>229</v>
      </c>
      <c r="P73" s="2" t="s">
        <v>419</v>
      </c>
      <c r="Q73" s="2" t="s">
        <v>420</v>
      </c>
      <c r="R73" s="2" t="s">
        <v>421</v>
      </c>
      <c r="S73" s="2" t="s">
        <v>422</v>
      </c>
    </row>
    <row r="74" spans="11:19" x14ac:dyDescent="0.35">
      <c r="K74" s="2" t="s">
        <v>423</v>
      </c>
      <c r="L74" s="2" t="s">
        <v>424</v>
      </c>
      <c r="M74" s="4">
        <v>2019</v>
      </c>
      <c r="N74" s="4">
        <v>40</v>
      </c>
      <c r="O74" s="12" t="s">
        <v>229</v>
      </c>
      <c r="P74" s="2" t="s">
        <v>425</v>
      </c>
      <c r="Q74" s="2" t="s">
        <v>426</v>
      </c>
      <c r="R74" s="2" t="s">
        <v>427</v>
      </c>
      <c r="S74" s="2" t="s">
        <v>428</v>
      </c>
    </row>
    <row r="75" spans="11:19" x14ac:dyDescent="0.35">
      <c r="K75" s="2" t="s">
        <v>429</v>
      </c>
      <c r="L75" s="2" t="s">
        <v>430</v>
      </c>
      <c r="M75" s="4">
        <v>2023</v>
      </c>
      <c r="N75" s="4">
        <v>8</v>
      </c>
      <c r="O75" s="12" t="s">
        <v>229</v>
      </c>
      <c r="P75" s="2" t="s">
        <v>2081</v>
      </c>
      <c r="Q75" s="2" t="s">
        <v>432</v>
      </c>
      <c r="R75" s="2" t="s">
        <v>433</v>
      </c>
      <c r="S75" s="2" t="s">
        <v>434</v>
      </c>
    </row>
    <row r="76" spans="11:19" x14ac:dyDescent="0.35">
      <c r="K76" s="2" t="s">
        <v>435</v>
      </c>
      <c r="L76" s="2" t="s">
        <v>436</v>
      </c>
      <c r="M76" s="4">
        <v>2021</v>
      </c>
      <c r="N76" s="4">
        <v>8</v>
      </c>
      <c r="O76" s="12" t="s">
        <v>229</v>
      </c>
      <c r="P76" s="2" t="s">
        <v>437</v>
      </c>
      <c r="Q76" s="2" t="s">
        <v>438</v>
      </c>
      <c r="R76" s="2" t="s">
        <v>439</v>
      </c>
      <c r="S76" s="2" t="s">
        <v>440</v>
      </c>
    </row>
    <row r="77" spans="11:19" x14ac:dyDescent="0.35">
      <c r="K77" s="2" t="s">
        <v>441</v>
      </c>
      <c r="L77" s="2" t="s">
        <v>442</v>
      </c>
      <c r="M77" s="4">
        <v>2019</v>
      </c>
      <c r="N77" s="4">
        <v>16</v>
      </c>
      <c r="O77" s="12" t="s">
        <v>229</v>
      </c>
      <c r="P77" s="2" t="s">
        <v>2082</v>
      </c>
      <c r="Q77" s="2" t="s">
        <v>444</v>
      </c>
      <c r="R77" s="2" t="s">
        <v>445</v>
      </c>
      <c r="S77" s="2" t="s">
        <v>446</v>
      </c>
    </row>
    <row r="78" spans="11:19" x14ac:dyDescent="0.35">
      <c r="K78" s="2" t="s">
        <v>447</v>
      </c>
      <c r="L78" s="2" t="s">
        <v>448</v>
      </c>
      <c r="M78" s="4">
        <v>2024</v>
      </c>
      <c r="N78" s="4">
        <v>12</v>
      </c>
      <c r="O78" s="12" t="s">
        <v>229</v>
      </c>
      <c r="P78" s="2" t="s">
        <v>449</v>
      </c>
      <c r="Q78" s="2" t="s">
        <v>450</v>
      </c>
      <c r="R78" s="2" t="s">
        <v>451</v>
      </c>
      <c r="S78" s="2" t="s">
        <v>452</v>
      </c>
    </row>
    <row r="79" spans="11:19" x14ac:dyDescent="0.35">
      <c r="K79" s="2" t="s">
        <v>453</v>
      </c>
      <c r="L79" s="2" t="s">
        <v>454</v>
      </c>
      <c r="M79" s="4">
        <v>2019</v>
      </c>
      <c r="N79" s="4">
        <v>16</v>
      </c>
      <c r="O79" s="12" t="s">
        <v>229</v>
      </c>
      <c r="P79" s="2" t="s">
        <v>455</v>
      </c>
      <c r="Q79" s="2" t="s">
        <v>456</v>
      </c>
      <c r="R79" s="2" t="s">
        <v>457</v>
      </c>
      <c r="S79" s="2" t="s">
        <v>458</v>
      </c>
    </row>
    <row r="80" spans="11:19" x14ac:dyDescent="0.35">
      <c r="K80" s="2" t="s">
        <v>459</v>
      </c>
      <c r="L80" s="2" t="s">
        <v>460</v>
      </c>
      <c r="M80" s="4">
        <v>2016</v>
      </c>
      <c r="N80" s="4">
        <v>20</v>
      </c>
      <c r="O80" s="12" t="s">
        <v>229</v>
      </c>
      <c r="P80" s="2" t="s">
        <v>2151</v>
      </c>
      <c r="Q80" s="2" t="s">
        <v>462</v>
      </c>
      <c r="R80" s="2" t="s">
        <v>463</v>
      </c>
      <c r="S80" s="2" t="s">
        <v>464</v>
      </c>
    </row>
    <row r="81" spans="11:19" x14ac:dyDescent="0.35">
      <c r="K81" s="2" t="s">
        <v>465</v>
      </c>
      <c r="L81" s="2" t="s">
        <v>466</v>
      </c>
      <c r="M81" s="4">
        <v>2016</v>
      </c>
      <c r="N81" s="4">
        <v>16</v>
      </c>
      <c r="O81" s="12" t="s">
        <v>229</v>
      </c>
      <c r="P81" s="2" t="s">
        <v>467</v>
      </c>
      <c r="Q81" s="2" t="s">
        <v>468</v>
      </c>
      <c r="R81" s="2" t="s">
        <v>469</v>
      </c>
      <c r="S81" s="2" t="s">
        <v>470</v>
      </c>
    </row>
    <row r="82" spans="11:19" x14ac:dyDescent="0.35">
      <c r="K82" s="2" t="s">
        <v>471</v>
      </c>
      <c r="L82" s="2" t="s">
        <v>472</v>
      </c>
      <c r="M82" s="4">
        <v>2021</v>
      </c>
      <c r="N82" s="4">
        <v>16</v>
      </c>
      <c r="O82" s="12" t="s">
        <v>229</v>
      </c>
      <c r="P82" s="2" t="s">
        <v>473</v>
      </c>
      <c r="Q82" s="2" t="s">
        <v>254</v>
      </c>
      <c r="R82" s="2" t="s">
        <v>474</v>
      </c>
      <c r="S82" s="2" t="s">
        <v>475</v>
      </c>
    </row>
    <row r="83" spans="11:19" x14ac:dyDescent="0.35">
      <c r="K83" s="2" t="s">
        <v>476</v>
      </c>
      <c r="L83" s="2" t="s">
        <v>477</v>
      </c>
      <c r="M83" s="4">
        <v>2019</v>
      </c>
      <c r="N83" s="4">
        <v>10</v>
      </c>
      <c r="O83" s="12" t="s">
        <v>229</v>
      </c>
      <c r="P83" s="2" t="s">
        <v>478</v>
      </c>
      <c r="Q83" s="2" t="s">
        <v>479</v>
      </c>
      <c r="R83" s="2" t="s">
        <v>480</v>
      </c>
      <c r="S83" s="2" t="s">
        <v>481</v>
      </c>
    </row>
    <row r="84" spans="11:19" x14ac:dyDescent="0.35">
      <c r="K84" s="2" t="s">
        <v>482</v>
      </c>
      <c r="L84" s="2" t="s">
        <v>483</v>
      </c>
      <c r="M84" s="4">
        <v>2018</v>
      </c>
      <c r="N84" s="4">
        <v>18</v>
      </c>
      <c r="O84" s="12" t="s">
        <v>229</v>
      </c>
      <c r="P84" s="2" t="s">
        <v>484</v>
      </c>
      <c r="Q84" s="2" t="s">
        <v>485</v>
      </c>
      <c r="R84" s="2" t="s">
        <v>486</v>
      </c>
      <c r="S84" s="2" t="s">
        <v>487</v>
      </c>
    </row>
    <row r="85" spans="11:19" x14ac:dyDescent="0.35">
      <c r="K85" s="2" t="s">
        <v>488</v>
      </c>
      <c r="L85" s="2" t="s">
        <v>489</v>
      </c>
      <c r="M85" s="4">
        <v>2017</v>
      </c>
      <c r="N85" s="4">
        <v>16</v>
      </c>
      <c r="O85" s="12" t="s">
        <v>229</v>
      </c>
      <c r="P85" s="2" t="s">
        <v>2083</v>
      </c>
      <c r="Q85" s="2" t="s">
        <v>491</v>
      </c>
      <c r="R85" s="2" t="s">
        <v>492</v>
      </c>
      <c r="S85" s="2" t="s">
        <v>493</v>
      </c>
    </row>
    <row r="86" spans="11:19" x14ac:dyDescent="0.35">
      <c r="K86" s="2" t="s">
        <v>494</v>
      </c>
      <c r="L86" s="2" t="s">
        <v>495</v>
      </c>
      <c r="M86" s="4">
        <v>2022</v>
      </c>
      <c r="N86" s="4">
        <v>16</v>
      </c>
      <c r="O86" s="12" t="s">
        <v>496</v>
      </c>
      <c r="P86" s="2" t="s">
        <v>497</v>
      </c>
      <c r="Q86" s="2" t="s">
        <v>386</v>
      </c>
      <c r="R86" s="2" t="s">
        <v>498</v>
      </c>
      <c r="S86" s="2" t="s">
        <v>499</v>
      </c>
    </row>
    <row r="87" spans="11:19" x14ac:dyDescent="0.35">
      <c r="K87" s="2" t="s">
        <v>500</v>
      </c>
      <c r="L87" s="2" t="s">
        <v>501</v>
      </c>
      <c r="M87" s="4">
        <v>2019</v>
      </c>
      <c r="N87" s="4">
        <v>32</v>
      </c>
      <c r="O87" s="12" t="s">
        <v>496</v>
      </c>
      <c r="P87" s="2" t="s">
        <v>502</v>
      </c>
      <c r="Q87" s="2" t="s">
        <v>503</v>
      </c>
      <c r="R87" s="2" t="s">
        <v>504</v>
      </c>
      <c r="S87" s="2" t="s">
        <v>505</v>
      </c>
    </row>
    <row r="88" spans="11:19" x14ac:dyDescent="0.35">
      <c r="K88" s="2" t="s">
        <v>506</v>
      </c>
      <c r="L88" s="2" t="s">
        <v>507</v>
      </c>
      <c r="M88" s="4">
        <v>2003</v>
      </c>
      <c r="N88" s="4">
        <v>54</v>
      </c>
      <c r="O88" s="12" t="s">
        <v>496</v>
      </c>
      <c r="P88" s="2" t="s">
        <v>508</v>
      </c>
      <c r="Q88" s="2" t="s">
        <v>509</v>
      </c>
      <c r="R88" s="2" t="s">
        <v>510</v>
      </c>
      <c r="S88" s="2" t="s">
        <v>511</v>
      </c>
    </row>
    <row r="89" spans="11:19" x14ac:dyDescent="0.35">
      <c r="K89" s="2" t="s">
        <v>512</v>
      </c>
      <c r="L89" s="2" t="s">
        <v>513</v>
      </c>
      <c r="M89" s="4">
        <v>2014</v>
      </c>
      <c r="N89" s="4">
        <v>16</v>
      </c>
      <c r="O89" s="12" t="s">
        <v>496</v>
      </c>
      <c r="P89" s="2" t="s">
        <v>514</v>
      </c>
      <c r="Q89" s="2" t="s">
        <v>114</v>
      </c>
      <c r="R89" s="2" t="s">
        <v>515</v>
      </c>
      <c r="S89" s="2" t="s">
        <v>516</v>
      </c>
    </row>
    <row r="90" spans="11:19" x14ac:dyDescent="0.35">
      <c r="K90" s="2" t="s">
        <v>517</v>
      </c>
      <c r="L90" s="2" t="s">
        <v>518</v>
      </c>
      <c r="M90" s="4">
        <v>2025</v>
      </c>
      <c r="N90" s="4">
        <v>12</v>
      </c>
      <c r="O90" s="12" t="s">
        <v>496</v>
      </c>
      <c r="P90" s="2" t="s">
        <v>519</v>
      </c>
      <c r="Q90" s="2" t="s">
        <v>520</v>
      </c>
      <c r="R90" s="2" t="s">
        <v>521</v>
      </c>
      <c r="S90" s="2" t="s">
        <v>522</v>
      </c>
    </row>
    <row r="91" spans="11:19" x14ac:dyDescent="0.35">
      <c r="K91" s="2" t="s">
        <v>523</v>
      </c>
      <c r="L91" s="2" t="s">
        <v>524</v>
      </c>
      <c r="M91" s="4">
        <v>2022</v>
      </c>
      <c r="N91" s="4">
        <v>12</v>
      </c>
      <c r="O91" s="12" t="s">
        <v>496</v>
      </c>
      <c r="P91" s="2" t="s">
        <v>2084</v>
      </c>
      <c r="Q91" s="2" t="s">
        <v>284</v>
      </c>
      <c r="R91" s="2" t="s">
        <v>526</v>
      </c>
      <c r="S91" s="2" t="s">
        <v>527</v>
      </c>
    </row>
    <row r="92" spans="11:19" x14ac:dyDescent="0.35">
      <c r="K92" s="2" t="s">
        <v>528</v>
      </c>
      <c r="L92" s="2" t="s">
        <v>529</v>
      </c>
      <c r="M92" s="4">
        <v>2022</v>
      </c>
      <c r="N92" s="4">
        <v>16</v>
      </c>
      <c r="O92" s="12" t="s">
        <v>496</v>
      </c>
      <c r="P92" s="2" t="s">
        <v>530</v>
      </c>
      <c r="Q92" s="2" t="s">
        <v>531</v>
      </c>
      <c r="R92" s="2" t="s">
        <v>532</v>
      </c>
      <c r="S92" s="2" t="s">
        <v>533</v>
      </c>
    </row>
    <row r="93" spans="11:19" x14ac:dyDescent="0.35">
      <c r="K93" s="2" t="s">
        <v>534</v>
      </c>
      <c r="L93" s="2" t="s">
        <v>535</v>
      </c>
      <c r="M93" s="4">
        <v>2018</v>
      </c>
      <c r="N93" s="4">
        <v>20</v>
      </c>
      <c r="O93" s="12" t="s">
        <v>496</v>
      </c>
      <c r="P93" s="2" t="s">
        <v>2152</v>
      </c>
      <c r="Q93" s="2" t="s">
        <v>537</v>
      </c>
      <c r="R93" s="2" t="s">
        <v>538</v>
      </c>
      <c r="S93" s="2" t="s">
        <v>539</v>
      </c>
    </row>
    <row r="94" spans="11:19" x14ac:dyDescent="0.35">
      <c r="K94" s="2" t="s">
        <v>540</v>
      </c>
      <c r="L94" s="2" t="s">
        <v>541</v>
      </c>
      <c r="M94" s="4">
        <v>2012</v>
      </c>
      <c r="N94" s="4">
        <v>28</v>
      </c>
      <c r="O94" s="12" t="s">
        <v>496</v>
      </c>
      <c r="P94" s="2" t="s">
        <v>542</v>
      </c>
      <c r="Q94" s="2" t="s">
        <v>543</v>
      </c>
      <c r="R94" s="2" t="s">
        <v>544</v>
      </c>
      <c r="S94" s="2" t="s">
        <v>545</v>
      </c>
    </row>
    <row r="95" spans="11:19" x14ac:dyDescent="0.35">
      <c r="K95" s="2" t="s">
        <v>546</v>
      </c>
      <c r="L95" s="2" t="s">
        <v>547</v>
      </c>
      <c r="M95" s="4">
        <v>2023</v>
      </c>
      <c r="N95" s="4">
        <v>12</v>
      </c>
      <c r="O95" s="12" t="s">
        <v>496</v>
      </c>
      <c r="P95" s="2" t="s">
        <v>548</v>
      </c>
      <c r="Q95" s="2" t="s">
        <v>549</v>
      </c>
      <c r="R95" s="2" t="s">
        <v>550</v>
      </c>
      <c r="S95" s="2" t="s">
        <v>551</v>
      </c>
    </row>
    <row r="96" spans="11:19" x14ac:dyDescent="0.35">
      <c r="K96" s="2" t="s">
        <v>552</v>
      </c>
      <c r="L96" s="2" t="s">
        <v>553</v>
      </c>
      <c r="M96" s="4">
        <v>2018</v>
      </c>
      <c r="N96" s="4">
        <v>32</v>
      </c>
      <c r="O96" s="12" t="s">
        <v>496</v>
      </c>
      <c r="P96" s="2" t="s">
        <v>2085</v>
      </c>
      <c r="Q96" s="2" t="s">
        <v>555</v>
      </c>
      <c r="R96" s="2" t="s">
        <v>556</v>
      </c>
      <c r="S96" s="2" t="s">
        <v>557</v>
      </c>
    </row>
    <row r="97" spans="11:19" x14ac:dyDescent="0.35">
      <c r="K97" s="2" t="s">
        <v>558</v>
      </c>
      <c r="L97" s="2" t="s">
        <v>559</v>
      </c>
      <c r="M97" s="4">
        <v>2017</v>
      </c>
      <c r="N97" s="4">
        <v>20</v>
      </c>
      <c r="O97" s="12" t="s">
        <v>496</v>
      </c>
      <c r="P97" s="2" t="s">
        <v>2086</v>
      </c>
      <c r="Q97" s="2" t="s">
        <v>561</v>
      </c>
      <c r="R97" s="2" t="s">
        <v>562</v>
      </c>
      <c r="S97" s="2" t="s">
        <v>563</v>
      </c>
    </row>
    <row r="98" spans="11:19" x14ac:dyDescent="0.35">
      <c r="K98" s="2" t="s">
        <v>564</v>
      </c>
      <c r="L98" s="2" t="s">
        <v>565</v>
      </c>
      <c r="M98" s="4">
        <v>2022</v>
      </c>
      <c r="N98" s="4">
        <v>12</v>
      </c>
      <c r="O98" s="12" t="s">
        <v>496</v>
      </c>
      <c r="P98" s="2" t="s">
        <v>566</v>
      </c>
      <c r="Q98" s="2" t="s">
        <v>567</v>
      </c>
      <c r="R98" s="2" t="s">
        <v>568</v>
      </c>
      <c r="S98" s="2" t="s">
        <v>569</v>
      </c>
    </row>
    <row r="99" spans="11:19" x14ac:dyDescent="0.35">
      <c r="K99" s="2" t="s">
        <v>570</v>
      </c>
      <c r="L99" s="2" t="s">
        <v>571</v>
      </c>
      <c r="M99" s="4">
        <v>2022</v>
      </c>
      <c r="N99" s="4">
        <v>16</v>
      </c>
      <c r="O99" s="12" t="s">
        <v>496</v>
      </c>
      <c r="P99" s="2" t="s">
        <v>572</v>
      </c>
      <c r="Q99" s="2" t="s">
        <v>573</v>
      </c>
      <c r="R99" s="2" t="s">
        <v>574</v>
      </c>
      <c r="S99" s="2" t="s">
        <v>575</v>
      </c>
    </row>
    <row r="100" spans="11:19" x14ac:dyDescent="0.35">
      <c r="K100" s="2" t="s">
        <v>576</v>
      </c>
      <c r="L100" s="2" t="s">
        <v>577</v>
      </c>
      <c r="M100" s="4">
        <v>2017</v>
      </c>
      <c r="N100" s="4">
        <v>12</v>
      </c>
      <c r="O100" s="12" t="s">
        <v>496</v>
      </c>
      <c r="P100" s="2" t="s">
        <v>578</v>
      </c>
      <c r="Q100" s="2" t="s">
        <v>579</v>
      </c>
      <c r="R100" s="2" t="s">
        <v>580</v>
      </c>
      <c r="S100" s="2" t="s">
        <v>581</v>
      </c>
    </row>
    <row r="101" spans="11:19" x14ac:dyDescent="0.35">
      <c r="K101" s="2" t="s">
        <v>582</v>
      </c>
      <c r="L101" s="2" t="s">
        <v>583</v>
      </c>
      <c r="M101" s="4">
        <v>2013</v>
      </c>
      <c r="N101" s="4">
        <v>51</v>
      </c>
      <c r="O101" s="12" t="s">
        <v>496</v>
      </c>
      <c r="P101" s="2" t="s">
        <v>584</v>
      </c>
      <c r="Q101" s="2" t="s">
        <v>585</v>
      </c>
      <c r="R101" s="2" t="s">
        <v>586</v>
      </c>
      <c r="S101" s="2" t="s">
        <v>587</v>
      </c>
    </row>
    <row r="102" spans="11:19" x14ac:dyDescent="0.35">
      <c r="K102" s="2" t="s">
        <v>588</v>
      </c>
      <c r="L102" s="2" t="s">
        <v>589</v>
      </c>
      <c r="M102" s="4">
        <v>2017</v>
      </c>
      <c r="N102" s="4">
        <v>52</v>
      </c>
      <c r="O102" s="12" t="s">
        <v>496</v>
      </c>
      <c r="P102" s="2" t="s">
        <v>590</v>
      </c>
      <c r="Q102" s="2" t="s">
        <v>591</v>
      </c>
      <c r="R102" s="2" t="s">
        <v>592</v>
      </c>
      <c r="S102" s="2" t="s">
        <v>593</v>
      </c>
    </row>
    <row r="103" spans="11:19" x14ac:dyDescent="0.35">
      <c r="K103" s="2" t="s">
        <v>594</v>
      </c>
      <c r="L103" s="2" t="s">
        <v>595</v>
      </c>
      <c r="M103" s="4">
        <v>2024</v>
      </c>
      <c r="N103" s="4">
        <v>8</v>
      </c>
      <c r="O103" s="12" t="s">
        <v>496</v>
      </c>
      <c r="P103" s="2" t="s">
        <v>596</v>
      </c>
      <c r="Q103" s="2" t="s">
        <v>597</v>
      </c>
      <c r="R103" s="2" t="s">
        <v>598</v>
      </c>
      <c r="S103" s="2" t="s">
        <v>599</v>
      </c>
    </row>
    <row r="104" spans="11:19" x14ac:dyDescent="0.35">
      <c r="K104" s="2" t="s">
        <v>600</v>
      </c>
      <c r="L104" s="2" t="s">
        <v>601</v>
      </c>
      <c r="M104" s="4">
        <v>2020</v>
      </c>
      <c r="N104" s="4">
        <v>100</v>
      </c>
      <c r="O104" s="12" t="s">
        <v>496</v>
      </c>
      <c r="P104" s="2" t="s">
        <v>2087</v>
      </c>
      <c r="Q104" s="2" t="s">
        <v>591</v>
      </c>
      <c r="R104" s="2" t="s">
        <v>603</v>
      </c>
      <c r="S104" s="2" t="s">
        <v>604</v>
      </c>
    </row>
    <row r="105" spans="11:19" x14ac:dyDescent="0.35">
      <c r="K105" s="2" t="s">
        <v>605</v>
      </c>
      <c r="L105" s="2" t="s">
        <v>606</v>
      </c>
      <c r="M105" s="4">
        <v>2020</v>
      </c>
      <c r="N105" s="4">
        <v>12</v>
      </c>
      <c r="O105" s="12" t="s">
        <v>496</v>
      </c>
      <c r="P105" s="2" t="s">
        <v>607</v>
      </c>
      <c r="Q105" s="2" t="s">
        <v>608</v>
      </c>
      <c r="R105" s="2" t="s">
        <v>609</v>
      </c>
      <c r="S105" s="2" t="s">
        <v>610</v>
      </c>
    </row>
    <row r="106" spans="11:19" x14ac:dyDescent="0.35">
      <c r="K106" s="2" t="s">
        <v>611</v>
      </c>
      <c r="L106" s="2" t="s">
        <v>612</v>
      </c>
      <c r="M106" s="4">
        <v>2020</v>
      </c>
      <c r="N106" s="4">
        <v>16</v>
      </c>
      <c r="O106" s="12" t="s">
        <v>496</v>
      </c>
      <c r="P106" s="2" t="s">
        <v>613</v>
      </c>
      <c r="Q106" s="2" t="s">
        <v>193</v>
      </c>
      <c r="R106" s="2" t="s">
        <v>614</v>
      </c>
      <c r="S106" s="2" t="s">
        <v>615</v>
      </c>
    </row>
    <row r="107" spans="11:19" x14ac:dyDescent="0.35">
      <c r="K107" s="2" t="s">
        <v>616</v>
      </c>
      <c r="L107" s="2" t="s">
        <v>617</v>
      </c>
      <c r="M107" s="4">
        <v>2019</v>
      </c>
      <c r="N107" s="4">
        <v>16</v>
      </c>
      <c r="O107" s="12" t="s">
        <v>496</v>
      </c>
      <c r="P107" s="2" t="s">
        <v>618</v>
      </c>
      <c r="Q107" s="2" t="s">
        <v>619</v>
      </c>
      <c r="R107" s="2" t="s">
        <v>620</v>
      </c>
      <c r="S107" s="2" t="s">
        <v>621</v>
      </c>
    </row>
    <row r="108" spans="11:19" x14ac:dyDescent="0.35">
      <c r="K108" s="2" t="s">
        <v>622</v>
      </c>
      <c r="L108" s="2" t="s">
        <v>623</v>
      </c>
      <c r="M108" s="4">
        <v>2022</v>
      </c>
      <c r="N108" s="4">
        <v>10</v>
      </c>
      <c r="O108" s="12" t="s">
        <v>496</v>
      </c>
      <c r="P108" s="2" t="s">
        <v>624</v>
      </c>
      <c r="Q108" s="2" t="s">
        <v>625</v>
      </c>
      <c r="R108" s="2" t="s">
        <v>626</v>
      </c>
      <c r="S108" s="2" t="s">
        <v>627</v>
      </c>
    </row>
    <row r="109" spans="11:19" x14ac:dyDescent="0.35">
      <c r="K109" s="2" t="s">
        <v>628</v>
      </c>
      <c r="L109" s="2" t="s">
        <v>629</v>
      </c>
      <c r="M109" s="4">
        <v>2013</v>
      </c>
      <c r="N109" s="4">
        <v>20</v>
      </c>
      <c r="O109" s="12" t="s">
        <v>496</v>
      </c>
      <c r="P109" s="2" t="s">
        <v>630</v>
      </c>
      <c r="Q109" s="2" t="s">
        <v>631</v>
      </c>
      <c r="R109" s="2" t="s">
        <v>632</v>
      </c>
      <c r="S109" s="2" t="s">
        <v>633</v>
      </c>
    </row>
    <row r="110" spans="11:19" x14ac:dyDescent="0.35">
      <c r="K110" s="2" t="s">
        <v>634</v>
      </c>
      <c r="L110" s="2" t="s">
        <v>635</v>
      </c>
      <c r="M110" s="4">
        <v>2023</v>
      </c>
      <c r="N110" s="4">
        <v>16</v>
      </c>
      <c r="O110" s="12" t="s">
        <v>496</v>
      </c>
      <c r="P110" s="2" t="s">
        <v>636</v>
      </c>
      <c r="Q110" s="2" t="s">
        <v>637</v>
      </c>
      <c r="R110" s="2" t="s">
        <v>638</v>
      </c>
      <c r="S110" s="2" t="s">
        <v>639</v>
      </c>
    </row>
    <row r="111" spans="11:19" x14ac:dyDescent="0.35">
      <c r="K111" s="2" t="s">
        <v>640</v>
      </c>
      <c r="L111" s="2" t="s">
        <v>641</v>
      </c>
      <c r="M111" s="4">
        <v>2013</v>
      </c>
      <c r="N111" s="4">
        <v>21</v>
      </c>
      <c r="O111" s="12" t="s">
        <v>496</v>
      </c>
      <c r="P111" s="2" t="s">
        <v>642</v>
      </c>
      <c r="Q111" s="2" t="s">
        <v>643</v>
      </c>
      <c r="R111" s="2" t="s">
        <v>644</v>
      </c>
      <c r="S111" s="2" t="s">
        <v>645</v>
      </c>
    </row>
    <row r="112" spans="11:19" x14ac:dyDescent="0.35">
      <c r="K112" s="2" t="s">
        <v>646</v>
      </c>
      <c r="L112" s="2" t="s">
        <v>647</v>
      </c>
      <c r="M112" s="4">
        <v>2020</v>
      </c>
      <c r="N112" s="4">
        <v>12</v>
      </c>
      <c r="O112" s="12" t="s">
        <v>496</v>
      </c>
      <c r="P112" s="2" t="s">
        <v>2153</v>
      </c>
      <c r="Q112" s="2" t="s">
        <v>649</v>
      </c>
      <c r="R112" s="2" t="s">
        <v>650</v>
      </c>
      <c r="S112" s="2" t="s">
        <v>651</v>
      </c>
    </row>
    <row r="113" spans="11:19" x14ac:dyDescent="0.35">
      <c r="K113" s="2" t="s">
        <v>652</v>
      </c>
      <c r="L113" s="2" t="s">
        <v>653</v>
      </c>
      <c r="M113" s="4">
        <v>2016</v>
      </c>
      <c r="N113" s="4">
        <v>12</v>
      </c>
      <c r="O113" s="12" t="s">
        <v>496</v>
      </c>
      <c r="P113" s="2" t="s">
        <v>654</v>
      </c>
      <c r="Q113" s="2" t="s">
        <v>655</v>
      </c>
      <c r="R113" s="2" t="s">
        <v>656</v>
      </c>
      <c r="S113" s="2" t="s">
        <v>657</v>
      </c>
    </row>
    <row r="114" spans="11:19" x14ac:dyDescent="0.35">
      <c r="K114" s="2" t="s">
        <v>658</v>
      </c>
      <c r="L114" s="2" t="s">
        <v>659</v>
      </c>
      <c r="M114" s="4">
        <v>2017</v>
      </c>
      <c r="N114" s="4">
        <v>16</v>
      </c>
      <c r="O114" s="12" t="s">
        <v>496</v>
      </c>
      <c r="P114" s="2" t="s">
        <v>660</v>
      </c>
      <c r="Q114" s="2" t="s">
        <v>661</v>
      </c>
      <c r="R114" s="2" t="s">
        <v>662</v>
      </c>
      <c r="S114" s="2" t="s">
        <v>663</v>
      </c>
    </row>
    <row r="115" spans="11:19" x14ac:dyDescent="0.35">
      <c r="K115" s="2" t="s">
        <v>664</v>
      </c>
      <c r="L115" s="2" t="s">
        <v>665</v>
      </c>
      <c r="M115" s="4">
        <v>2017</v>
      </c>
      <c r="N115" s="4">
        <v>16</v>
      </c>
      <c r="O115" s="12" t="s">
        <v>496</v>
      </c>
      <c r="P115" s="2" t="s">
        <v>666</v>
      </c>
      <c r="Q115" s="2" t="s">
        <v>272</v>
      </c>
      <c r="R115" s="2" t="s">
        <v>667</v>
      </c>
      <c r="S115" s="2" t="s">
        <v>668</v>
      </c>
    </row>
    <row r="116" spans="11:19" x14ac:dyDescent="0.35">
      <c r="K116" s="2" t="s">
        <v>669</v>
      </c>
      <c r="L116" s="2" t="s">
        <v>670</v>
      </c>
      <c r="M116" s="4">
        <v>2021</v>
      </c>
      <c r="N116" s="4">
        <v>12</v>
      </c>
      <c r="O116" s="12" t="s">
        <v>496</v>
      </c>
      <c r="P116" s="2" t="s">
        <v>2088</v>
      </c>
      <c r="Q116" s="2" t="s">
        <v>352</v>
      </c>
      <c r="R116" s="2" t="s">
        <v>672</v>
      </c>
      <c r="S116" s="2" t="s">
        <v>673</v>
      </c>
    </row>
    <row r="117" spans="11:19" x14ac:dyDescent="0.35">
      <c r="K117" s="2" t="s">
        <v>674</v>
      </c>
      <c r="L117" s="2">
        <v>365</v>
      </c>
      <c r="M117" s="4">
        <v>2020</v>
      </c>
      <c r="N117" s="4">
        <v>24</v>
      </c>
      <c r="O117" s="12" t="s">
        <v>496</v>
      </c>
      <c r="P117" s="2" t="s">
        <v>675</v>
      </c>
      <c r="Q117" s="2" t="s">
        <v>676</v>
      </c>
      <c r="R117" s="2" t="s">
        <v>677</v>
      </c>
      <c r="S117" s="2" t="s">
        <v>678</v>
      </c>
    </row>
    <row r="118" spans="11:19" x14ac:dyDescent="0.35">
      <c r="K118" s="2" t="s">
        <v>679</v>
      </c>
      <c r="L118" s="2" t="s">
        <v>680</v>
      </c>
      <c r="M118" s="4">
        <v>2013</v>
      </c>
      <c r="N118" s="4">
        <v>17</v>
      </c>
      <c r="O118" s="12" t="s">
        <v>496</v>
      </c>
      <c r="P118" s="2" t="s">
        <v>681</v>
      </c>
      <c r="Q118" s="2" t="s">
        <v>682</v>
      </c>
      <c r="R118" s="2" t="s">
        <v>683</v>
      </c>
      <c r="S118" s="2" t="s">
        <v>684</v>
      </c>
    </row>
    <row r="119" spans="11:19" x14ac:dyDescent="0.35">
      <c r="K119" s="2" t="s">
        <v>685</v>
      </c>
      <c r="L119" s="2" t="s">
        <v>686</v>
      </c>
      <c r="M119" s="4">
        <v>2017</v>
      </c>
      <c r="N119" s="4">
        <v>12</v>
      </c>
      <c r="O119" s="12" t="s">
        <v>496</v>
      </c>
      <c r="P119" s="2" t="s">
        <v>2089</v>
      </c>
      <c r="Q119" s="2" t="s">
        <v>688</v>
      </c>
      <c r="R119" s="2" t="s">
        <v>689</v>
      </c>
      <c r="S119" s="2" t="s">
        <v>690</v>
      </c>
    </row>
    <row r="120" spans="11:19" x14ac:dyDescent="0.35">
      <c r="K120" s="2" t="s">
        <v>691</v>
      </c>
      <c r="L120" s="2" t="s">
        <v>692</v>
      </c>
      <c r="M120" s="4">
        <v>2017</v>
      </c>
      <c r="N120" s="4">
        <v>30</v>
      </c>
      <c r="O120" s="12" t="s">
        <v>693</v>
      </c>
      <c r="P120" s="2" t="s">
        <v>2154</v>
      </c>
      <c r="Q120" s="2" t="s">
        <v>695</v>
      </c>
      <c r="R120" s="2" t="s">
        <v>696</v>
      </c>
      <c r="S120" s="2" t="s">
        <v>697</v>
      </c>
    </row>
    <row r="121" spans="11:19" x14ac:dyDescent="0.35">
      <c r="K121" s="2" t="s">
        <v>698</v>
      </c>
      <c r="L121" s="2" t="s">
        <v>699</v>
      </c>
      <c r="M121" s="4">
        <v>2024</v>
      </c>
      <c r="N121" s="4">
        <v>10</v>
      </c>
      <c r="O121" s="12" t="s">
        <v>693</v>
      </c>
      <c r="P121" s="2" t="s">
        <v>700</v>
      </c>
      <c r="Q121" s="2" t="s">
        <v>701</v>
      </c>
      <c r="R121" s="2" t="s">
        <v>702</v>
      </c>
      <c r="S121" s="2" t="s">
        <v>703</v>
      </c>
    </row>
    <row r="122" spans="11:19" x14ac:dyDescent="0.35">
      <c r="K122" s="2" t="s">
        <v>704</v>
      </c>
      <c r="L122" s="2" t="s">
        <v>705</v>
      </c>
      <c r="M122" s="4">
        <v>2020</v>
      </c>
      <c r="N122" s="4">
        <v>16</v>
      </c>
      <c r="O122" s="12" t="s">
        <v>693</v>
      </c>
      <c r="P122" s="2" t="s">
        <v>2090</v>
      </c>
      <c r="Q122" s="2" t="s">
        <v>707</v>
      </c>
      <c r="R122" s="2" t="s">
        <v>708</v>
      </c>
      <c r="S122" s="2" t="s">
        <v>709</v>
      </c>
    </row>
    <row r="123" spans="11:19" x14ac:dyDescent="0.35">
      <c r="K123" s="2" t="s">
        <v>710</v>
      </c>
      <c r="L123" s="2" t="s">
        <v>711</v>
      </c>
      <c r="M123" s="4">
        <v>2014</v>
      </c>
      <c r="N123" s="4">
        <v>11</v>
      </c>
      <c r="O123" s="12" t="s">
        <v>693</v>
      </c>
      <c r="P123" s="2" t="s">
        <v>712</v>
      </c>
      <c r="Q123" s="2" t="s">
        <v>713</v>
      </c>
      <c r="R123" s="2" t="s">
        <v>714</v>
      </c>
      <c r="S123" s="2" t="s">
        <v>715</v>
      </c>
    </row>
    <row r="124" spans="11:19" x14ac:dyDescent="0.35">
      <c r="K124" s="2" t="s">
        <v>716</v>
      </c>
      <c r="L124" s="2" t="s">
        <v>717</v>
      </c>
      <c r="M124" s="4">
        <v>2019</v>
      </c>
      <c r="N124" s="4">
        <v>16</v>
      </c>
      <c r="O124" s="12" t="s">
        <v>693</v>
      </c>
      <c r="P124" s="2" t="s">
        <v>718</v>
      </c>
      <c r="Q124" s="2" t="s">
        <v>719</v>
      </c>
      <c r="R124" s="2" t="s">
        <v>720</v>
      </c>
      <c r="S124" s="2" t="s">
        <v>721</v>
      </c>
    </row>
    <row r="125" spans="11:19" x14ac:dyDescent="0.35">
      <c r="K125" s="2" t="s">
        <v>722</v>
      </c>
      <c r="L125" s="2" t="s">
        <v>723</v>
      </c>
      <c r="M125" s="4">
        <v>2024</v>
      </c>
      <c r="N125" s="4">
        <v>16</v>
      </c>
      <c r="O125" s="12" t="s">
        <v>693</v>
      </c>
      <c r="P125" s="2" t="s">
        <v>2091</v>
      </c>
      <c r="Q125" s="2" t="s">
        <v>725</v>
      </c>
      <c r="R125" s="2" t="s">
        <v>726</v>
      </c>
      <c r="S125" s="2" t="s">
        <v>727</v>
      </c>
    </row>
    <row r="126" spans="11:19" x14ac:dyDescent="0.35">
      <c r="K126" s="2" t="s">
        <v>728</v>
      </c>
      <c r="L126" s="2" t="s">
        <v>729</v>
      </c>
      <c r="M126" s="4">
        <v>2019</v>
      </c>
      <c r="N126" s="4">
        <v>6</v>
      </c>
      <c r="O126" s="12" t="s">
        <v>693</v>
      </c>
      <c r="P126" s="2" t="s">
        <v>730</v>
      </c>
      <c r="Q126" s="2" t="s">
        <v>358</v>
      </c>
      <c r="R126" s="2" t="s">
        <v>731</v>
      </c>
      <c r="S126" s="2" t="s">
        <v>732</v>
      </c>
    </row>
    <row r="127" spans="11:19" x14ac:dyDescent="0.35">
      <c r="K127" s="2" t="s">
        <v>733</v>
      </c>
      <c r="L127" s="2" t="s">
        <v>734</v>
      </c>
      <c r="M127" s="4">
        <v>2020</v>
      </c>
      <c r="N127" s="4">
        <v>16</v>
      </c>
      <c r="O127" s="12" t="s">
        <v>693</v>
      </c>
      <c r="P127" s="2" t="s">
        <v>2092</v>
      </c>
      <c r="Q127" s="2" t="s">
        <v>736</v>
      </c>
      <c r="R127" s="2" t="s">
        <v>737</v>
      </c>
      <c r="S127" s="2" t="s">
        <v>738</v>
      </c>
    </row>
    <row r="128" spans="11:19" x14ac:dyDescent="0.35">
      <c r="K128" s="2" t="s">
        <v>739</v>
      </c>
      <c r="L128" s="2" t="s">
        <v>740</v>
      </c>
      <c r="M128" s="4">
        <v>2013</v>
      </c>
      <c r="N128" s="4">
        <v>18</v>
      </c>
      <c r="O128" s="12" t="s">
        <v>693</v>
      </c>
      <c r="P128" s="2" t="s">
        <v>2093</v>
      </c>
      <c r="Q128" s="2" t="s">
        <v>742</v>
      </c>
      <c r="R128" s="2" t="s">
        <v>743</v>
      </c>
      <c r="S128" s="2" t="s">
        <v>744</v>
      </c>
    </row>
    <row r="129" spans="11:19" x14ac:dyDescent="0.35">
      <c r="K129" s="2" t="s">
        <v>745</v>
      </c>
      <c r="L129" s="2" t="s">
        <v>746</v>
      </c>
      <c r="M129" s="4">
        <v>2018</v>
      </c>
      <c r="N129" s="4">
        <v>16</v>
      </c>
      <c r="O129" s="12" t="s">
        <v>693</v>
      </c>
      <c r="P129" s="2" t="s">
        <v>747</v>
      </c>
      <c r="Q129" s="2" t="s">
        <v>748</v>
      </c>
      <c r="R129" s="2" t="s">
        <v>749</v>
      </c>
      <c r="S129" s="2" t="s">
        <v>750</v>
      </c>
    </row>
    <row r="130" spans="11:19" x14ac:dyDescent="0.35">
      <c r="K130" s="2" t="s">
        <v>751</v>
      </c>
      <c r="L130" s="2" t="s">
        <v>752</v>
      </c>
      <c r="M130" s="4">
        <v>2019</v>
      </c>
      <c r="N130" s="4">
        <v>16</v>
      </c>
      <c r="O130" s="12" t="s">
        <v>693</v>
      </c>
      <c r="P130" s="2" t="s">
        <v>2094</v>
      </c>
      <c r="Q130" s="2" t="s">
        <v>754</v>
      </c>
      <c r="R130" s="2" t="s">
        <v>755</v>
      </c>
      <c r="S130" s="2" t="s">
        <v>756</v>
      </c>
    </row>
    <row r="131" spans="11:19" x14ac:dyDescent="0.35">
      <c r="K131" s="2" t="s">
        <v>757</v>
      </c>
      <c r="L131" s="2" t="s">
        <v>758</v>
      </c>
      <c r="M131" s="4">
        <v>2021</v>
      </c>
      <c r="N131" s="4">
        <v>8</v>
      </c>
      <c r="O131" s="12" t="s">
        <v>693</v>
      </c>
      <c r="P131" s="2" t="s">
        <v>759</v>
      </c>
      <c r="Q131" s="2" t="s">
        <v>760</v>
      </c>
      <c r="R131" s="2" t="s">
        <v>761</v>
      </c>
      <c r="S131" s="2" t="s">
        <v>762</v>
      </c>
    </row>
    <row r="132" spans="11:19" x14ac:dyDescent="0.35">
      <c r="K132" s="2" t="s">
        <v>763</v>
      </c>
      <c r="L132" s="2" t="s">
        <v>764</v>
      </c>
      <c r="M132" s="4">
        <v>2012</v>
      </c>
      <c r="N132" s="4">
        <v>16</v>
      </c>
      <c r="O132" s="12" t="s">
        <v>693</v>
      </c>
      <c r="P132" s="2" t="s">
        <v>765</v>
      </c>
      <c r="Q132" s="2" t="s">
        <v>766</v>
      </c>
      <c r="R132" s="2" t="s">
        <v>767</v>
      </c>
      <c r="S132" s="2" t="s">
        <v>768</v>
      </c>
    </row>
    <row r="133" spans="11:19" x14ac:dyDescent="0.35">
      <c r="K133" s="2" t="s">
        <v>769</v>
      </c>
      <c r="L133" s="2" t="s">
        <v>770</v>
      </c>
      <c r="M133" s="4">
        <v>2019</v>
      </c>
      <c r="N133" s="4">
        <v>32</v>
      </c>
      <c r="O133" s="12" t="s">
        <v>693</v>
      </c>
      <c r="P133" s="2" t="s">
        <v>2155</v>
      </c>
      <c r="Q133" s="2" t="s">
        <v>772</v>
      </c>
      <c r="R133" s="2" t="s">
        <v>773</v>
      </c>
      <c r="S133" s="2" t="s">
        <v>774</v>
      </c>
    </row>
    <row r="134" spans="11:19" x14ac:dyDescent="0.35">
      <c r="K134" s="2" t="s">
        <v>775</v>
      </c>
      <c r="L134" s="2" t="s">
        <v>776</v>
      </c>
      <c r="M134" s="4">
        <v>2020</v>
      </c>
      <c r="N134" s="4">
        <v>16</v>
      </c>
      <c r="O134" s="12" t="s">
        <v>693</v>
      </c>
      <c r="P134" s="2" t="s">
        <v>777</v>
      </c>
      <c r="Q134" s="2" t="s">
        <v>778</v>
      </c>
      <c r="R134" s="2" t="s">
        <v>779</v>
      </c>
      <c r="S134" s="2" t="s">
        <v>780</v>
      </c>
    </row>
    <row r="135" spans="11:19" x14ac:dyDescent="0.35">
      <c r="K135" s="2" t="s">
        <v>781</v>
      </c>
      <c r="L135" s="2" t="s">
        <v>782</v>
      </c>
      <c r="M135" s="4">
        <v>2017</v>
      </c>
      <c r="N135" s="4">
        <v>16</v>
      </c>
      <c r="O135" s="12" t="s">
        <v>693</v>
      </c>
      <c r="P135" s="2" t="s">
        <v>2095</v>
      </c>
      <c r="Q135" s="2" t="s">
        <v>784</v>
      </c>
      <c r="R135" s="2" t="s">
        <v>785</v>
      </c>
      <c r="S135" s="2" t="s">
        <v>786</v>
      </c>
    </row>
    <row r="136" spans="11:19" x14ac:dyDescent="0.35">
      <c r="K136" s="2" t="s">
        <v>787</v>
      </c>
      <c r="L136" s="2" t="s">
        <v>788</v>
      </c>
      <c r="M136" s="4">
        <v>2017</v>
      </c>
      <c r="N136" s="4">
        <v>16</v>
      </c>
      <c r="O136" s="12" t="s">
        <v>693</v>
      </c>
      <c r="P136" s="2" t="s">
        <v>789</v>
      </c>
      <c r="Q136" s="2" t="s">
        <v>790</v>
      </c>
      <c r="R136" s="2" t="s">
        <v>791</v>
      </c>
      <c r="S136" s="2" t="s">
        <v>792</v>
      </c>
    </row>
    <row r="137" spans="11:19" x14ac:dyDescent="0.35">
      <c r="K137" s="2" t="s">
        <v>793</v>
      </c>
      <c r="L137" s="2" t="s">
        <v>794</v>
      </c>
      <c r="M137" s="4">
        <v>2021</v>
      </c>
      <c r="N137" s="4">
        <v>9</v>
      </c>
      <c r="O137" s="12" t="s">
        <v>693</v>
      </c>
      <c r="P137" s="2" t="s">
        <v>795</v>
      </c>
      <c r="Q137" s="2" t="s">
        <v>272</v>
      </c>
      <c r="R137" s="2" t="s">
        <v>796</v>
      </c>
      <c r="S137" s="2" t="s">
        <v>797</v>
      </c>
    </row>
    <row r="138" spans="11:19" x14ac:dyDescent="0.35">
      <c r="K138" s="2" t="s">
        <v>798</v>
      </c>
      <c r="L138" s="2" t="s">
        <v>799</v>
      </c>
      <c r="M138" s="4">
        <v>2016</v>
      </c>
      <c r="N138" s="4">
        <v>16</v>
      </c>
      <c r="O138" s="12" t="s">
        <v>693</v>
      </c>
      <c r="P138" s="2" t="s">
        <v>800</v>
      </c>
      <c r="Q138" s="2" t="s">
        <v>801</v>
      </c>
      <c r="R138" s="2" t="s">
        <v>802</v>
      </c>
      <c r="S138" s="2" t="s">
        <v>803</v>
      </c>
    </row>
    <row r="139" spans="11:19" x14ac:dyDescent="0.35">
      <c r="K139" s="2" t="s">
        <v>804</v>
      </c>
      <c r="L139" s="2" t="s">
        <v>805</v>
      </c>
      <c r="M139" s="4">
        <v>2009</v>
      </c>
      <c r="N139" s="4">
        <v>62</v>
      </c>
      <c r="O139" s="12" t="s">
        <v>693</v>
      </c>
      <c r="P139" s="2" t="s">
        <v>806</v>
      </c>
      <c r="Q139" s="2" t="s">
        <v>807</v>
      </c>
      <c r="R139" s="2" t="s">
        <v>808</v>
      </c>
      <c r="S139" s="2" t="s">
        <v>809</v>
      </c>
    </row>
    <row r="140" spans="11:19" x14ac:dyDescent="0.35">
      <c r="K140" s="2" t="s">
        <v>810</v>
      </c>
      <c r="L140" s="2" t="s">
        <v>811</v>
      </c>
      <c r="M140" s="4">
        <v>2021</v>
      </c>
      <c r="N140" s="4">
        <v>13</v>
      </c>
      <c r="O140" s="12" t="s">
        <v>693</v>
      </c>
      <c r="P140" s="2" t="s">
        <v>2156</v>
      </c>
      <c r="Q140" s="2" t="s">
        <v>409</v>
      </c>
      <c r="R140" s="2" t="s">
        <v>813</v>
      </c>
      <c r="S140" s="2" t="s">
        <v>814</v>
      </c>
    </row>
    <row r="141" spans="11:19" x14ac:dyDescent="0.35">
      <c r="K141" s="2" t="s">
        <v>815</v>
      </c>
      <c r="L141" s="2" t="s">
        <v>816</v>
      </c>
      <c r="M141" s="4">
        <v>2021</v>
      </c>
      <c r="N141" s="4">
        <v>16</v>
      </c>
      <c r="O141" s="12" t="s">
        <v>693</v>
      </c>
      <c r="P141" s="2" t="s">
        <v>817</v>
      </c>
      <c r="Q141" s="2" t="s">
        <v>818</v>
      </c>
      <c r="R141" s="2" t="s">
        <v>2096</v>
      </c>
      <c r="S141" s="2" t="s">
        <v>820</v>
      </c>
    </row>
    <row r="142" spans="11:19" x14ac:dyDescent="0.35">
      <c r="K142" s="2" t="s">
        <v>821</v>
      </c>
      <c r="L142" s="2" t="s">
        <v>822</v>
      </c>
      <c r="M142" s="4">
        <v>2018</v>
      </c>
      <c r="N142" s="4">
        <v>32</v>
      </c>
      <c r="O142" s="12" t="s">
        <v>693</v>
      </c>
      <c r="P142" s="2" t="s">
        <v>823</v>
      </c>
      <c r="Q142" s="2" t="s">
        <v>824</v>
      </c>
      <c r="R142" s="2" t="s">
        <v>825</v>
      </c>
      <c r="S142" s="2" t="s">
        <v>826</v>
      </c>
    </row>
    <row r="143" spans="11:19" x14ac:dyDescent="0.35">
      <c r="K143" s="2" t="s">
        <v>827</v>
      </c>
      <c r="L143" s="2" t="s">
        <v>828</v>
      </c>
      <c r="M143" s="4">
        <v>2019</v>
      </c>
      <c r="N143" s="4">
        <v>40</v>
      </c>
      <c r="O143" s="12" t="s">
        <v>693</v>
      </c>
      <c r="P143" s="2" t="s">
        <v>829</v>
      </c>
      <c r="Q143" s="2" t="s">
        <v>830</v>
      </c>
      <c r="R143" s="2" t="s">
        <v>831</v>
      </c>
      <c r="S143" s="2" t="s">
        <v>832</v>
      </c>
    </row>
    <row r="144" spans="11:19" x14ac:dyDescent="0.35">
      <c r="K144" s="2" t="s">
        <v>833</v>
      </c>
      <c r="L144" s="2" t="s">
        <v>834</v>
      </c>
      <c r="M144" s="4">
        <v>2019</v>
      </c>
      <c r="N144" s="4">
        <v>16</v>
      </c>
      <c r="O144" s="12" t="s">
        <v>693</v>
      </c>
      <c r="P144" s="2" t="s">
        <v>835</v>
      </c>
      <c r="Q144" s="2" t="s">
        <v>836</v>
      </c>
      <c r="R144" s="2" t="s">
        <v>837</v>
      </c>
      <c r="S144" s="2" t="s">
        <v>838</v>
      </c>
    </row>
    <row r="145" spans="11:19" x14ac:dyDescent="0.35">
      <c r="K145" s="2" t="s">
        <v>839</v>
      </c>
      <c r="L145" s="2" t="s">
        <v>840</v>
      </c>
      <c r="M145" s="4">
        <v>2024</v>
      </c>
      <c r="N145" s="4">
        <v>16</v>
      </c>
      <c r="O145" s="12" t="s">
        <v>693</v>
      </c>
      <c r="P145" s="2" t="s">
        <v>841</v>
      </c>
      <c r="Q145" s="2" t="s">
        <v>842</v>
      </c>
      <c r="R145" s="2" t="s">
        <v>843</v>
      </c>
      <c r="S145" s="2" t="s">
        <v>844</v>
      </c>
    </row>
    <row r="146" spans="11:19" x14ac:dyDescent="0.35">
      <c r="K146" s="2" t="s">
        <v>845</v>
      </c>
      <c r="L146" s="2" t="s">
        <v>846</v>
      </c>
      <c r="M146" s="4">
        <v>2020</v>
      </c>
      <c r="N146" s="4">
        <v>16</v>
      </c>
      <c r="O146" s="12" t="s">
        <v>693</v>
      </c>
      <c r="P146" s="2" t="s">
        <v>847</v>
      </c>
      <c r="Q146" s="2" t="s">
        <v>520</v>
      </c>
      <c r="R146" s="2" t="s">
        <v>848</v>
      </c>
      <c r="S146" s="2" t="s">
        <v>849</v>
      </c>
    </row>
    <row r="147" spans="11:19" x14ac:dyDescent="0.35">
      <c r="K147" s="2" t="s">
        <v>850</v>
      </c>
      <c r="L147" s="2" t="s">
        <v>851</v>
      </c>
      <c r="M147" s="4">
        <v>2021</v>
      </c>
      <c r="N147" s="4">
        <v>16</v>
      </c>
      <c r="O147" s="12" t="s">
        <v>693</v>
      </c>
      <c r="P147" s="2" t="s">
        <v>2097</v>
      </c>
      <c r="Q147" s="2" t="s">
        <v>853</v>
      </c>
      <c r="R147" s="2" t="s">
        <v>854</v>
      </c>
      <c r="S147" s="2" t="s">
        <v>855</v>
      </c>
    </row>
    <row r="148" spans="11:19" x14ac:dyDescent="0.35">
      <c r="K148" s="2" t="s">
        <v>856</v>
      </c>
      <c r="L148" s="2" t="s">
        <v>857</v>
      </c>
      <c r="M148" s="4">
        <v>2017</v>
      </c>
      <c r="N148" s="4">
        <v>12</v>
      </c>
      <c r="O148" s="12" t="s">
        <v>693</v>
      </c>
      <c r="P148" s="2" t="s">
        <v>858</v>
      </c>
      <c r="Q148" s="2" t="s">
        <v>2061</v>
      </c>
      <c r="R148" s="2" t="s">
        <v>2061</v>
      </c>
      <c r="S148" s="2" t="s">
        <v>2061</v>
      </c>
    </row>
    <row r="149" spans="11:19" x14ac:dyDescent="0.35">
      <c r="K149" s="2" t="s">
        <v>859</v>
      </c>
      <c r="L149" s="2" t="s">
        <v>860</v>
      </c>
      <c r="M149" s="4">
        <v>2017</v>
      </c>
      <c r="N149" s="4">
        <v>16</v>
      </c>
      <c r="O149" s="12" t="s">
        <v>693</v>
      </c>
      <c r="P149" s="2" t="s">
        <v>861</v>
      </c>
      <c r="Q149" s="2" t="s">
        <v>862</v>
      </c>
      <c r="R149" s="2" t="s">
        <v>863</v>
      </c>
      <c r="S149" s="2" t="s">
        <v>864</v>
      </c>
    </row>
    <row r="150" spans="11:19" x14ac:dyDescent="0.35">
      <c r="K150" s="2" t="s">
        <v>865</v>
      </c>
      <c r="L150" s="2" t="s">
        <v>866</v>
      </c>
      <c r="M150" s="4">
        <v>2011</v>
      </c>
      <c r="N150" s="4">
        <v>24</v>
      </c>
      <c r="O150" s="12" t="s">
        <v>693</v>
      </c>
      <c r="P150" s="2" t="s">
        <v>867</v>
      </c>
      <c r="Q150" s="2" t="s">
        <v>868</v>
      </c>
      <c r="R150" s="2" t="s">
        <v>869</v>
      </c>
      <c r="S150" s="2" t="s">
        <v>870</v>
      </c>
    </row>
    <row r="151" spans="11:19" x14ac:dyDescent="0.35">
      <c r="K151" s="2" t="s">
        <v>871</v>
      </c>
      <c r="L151" s="2" t="s">
        <v>872</v>
      </c>
      <c r="M151" s="4">
        <v>2022</v>
      </c>
      <c r="N151" s="4">
        <v>16</v>
      </c>
      <c r="O151" s="12" t="s">
        <v>693</v>
      </c>
      <c r="P151" s="2" t="s">
        <v>873</v>
      </c>
      <c r="Q151" s="2" t="s">
        <v>567</v>
      </c>
      <c r="R151" s="2" t="s">
        <v>874</v>
      </c>
      <c r="S151" s="2" t="s">
        <v>875</v>
      </c>
    </row>
    <row r="152" spans="11:19" x14ac:dyDescent="0.35">
      <c r="K152" s="2" t="s">
        <v>876</v>
      </c>
      <c r="L152" s="2" t="s">
        <v>877</v>
      </c>
      <c r="M152" s="4">
        <v>2013</v>
      </c>
      <c r="N152" s="4">
        <v>16</v>
      </c>
      <c r="O152" s="12" t="s">
        <v>693</v>
      </c>
      <c r="P152" s="2" t="s">
        <v>878</v>
      </c>
      <c r="Q152" s="2" t="s">
        <v>284</v>
      </c>
      <c r="R152" s="2" t="s">
        <v>879</v>
      </c>
      <c r="S152" s="2" t="s">
        <v>880</v>
      </c>
    </row>
    <row r="153" spans="11:19" x14ac:dyDescent="0.35">
      <c r="K153" s="2" t="s">
        <v>881</v>
      </c>
      <c r="L153" s="2" t="s">
        <v>882</v>
      </c>
      <c r="M153" s="4">
        <v>2021</v>
      </c>
      <c r="N153" s="4">
        <v>12</v>
      </c>
      <c r="O153" s="12" t="s">
        <v>693</v>
      </c>
      <c r="P153" s="2" t="s">
        <v>883</v>
      </c>
      <c r="Q153" s="2" t="s">
        <v>884</v>
      </c>
      <c r="R153" s="2" t="s">
        <v>885</v>
      </c>
      <c r="S153" s="2" t="s">
        <v>886</v>
      </c>
    </row>
    <row r="154" spans="11:19" x14ac:dyDescent="0.35">
      <c r="K154" s="2" t="s">
        <v>887</v>
      </c>
      <c r="L154" s="2" t="s">
        <v>888</v>
      </c>
      <c r="M154" s="4">
        <v>2010</v>
      </c>
      <c r="N154" s="4">
        <v>60</v>
      </c>
      <c r="O154" s="12" t="s">
        <v>693</v>
      </c>
      <c r="P154" s="2" t="s">
        <v>889</v>
      </c>
      <c r="Q154" s="2" t="s">
        <v>890</v>
      </c>
      <c r="R154" s="2" t="s">
        <v>891</v>
      </c>
      <c r="S154" s="2" t="s">
        <v>892</v>
      </c>
    </row>
    <row r="155" spans="11:19" x14ac:dyDescent="0.35">
      <c r="K155" s="2" t="s">
        <v>893</v>
      </c>
      <c r="L155" s="2" t="s">
        <v>894</v>
      </c>
      <c r="M155" s="4">
        <v>2022</v>
      </c>
      <c r="N155" s="4">
        <v>12</v>
      </c>
      <c r="O155" s="12" t="s">
        <v>693</v>
      </c>
      <c r="P155" s="2" t="s">
        <v>2098</v>
      </c>
      <c r="Q155" s="2" t="s">
        <v>896</v>
      </c>
      <c r="R155" s="2" t="s">
        <v>897</v>
      </c>
      <c r="S155" s="2" t="s">
        <v>898</v>
      </c>
    </row>
    <row r="156" spans="11:19" x14ac:dyDescent="0.35">
      <c r="K156" s="2" t="s">
        <v>899</v>
      </c>
      <c r="L156" s="2" t="s">
        <v>900</v>
      </c>
      <c r="M156" s="4">
        <v>2019</v>
      </c>
      <c r="N156" s="4">
        <v>32</v>
      </c>
      <c r="O156" s="12" t="s">
        <v>693</v>
      </c>
      <c r="P156" s="2" t="s">
        <v>2099</v>
      </c>
      <c r="Q156" s="2" t="s">
        <v>725</v>
      </c>
      <c r="R156" s="2" t="s">
        <v>902</v>
      </c>
      <c r="S156" s="2" t="s">
        <v>903</v>
      </c>
    </row>
    <row r="157" spans="11:19" x14ac:dyDescent="0.35">
      <c r="K157" s="2" t="s">
        <v>904</v>
      </c>
      <c r="L157" s="2" t="s">
        <v>905</v>
      </c>
      <c r="M157" s="4">
        <v>2020</v>
      </c>
      <c r="N157" s="4">
        <v>16</v>
      </c>
      <c r="O157" s="12" t="s">
        <v>693</v>
      </c>
      <c r="P157" s="2" t="s">
        <v>906</v>
      </c>
      <c r="Q157" s="2" t="s">
        <v>907</v>
      </c>
      <c r="R157" s="2" t="s">
        <v>908</v>
      </c>
      <c r="S157" s="2" t="s">
        <v>909</v>
      </c>
    </row>
    <row r="158" spans="11:19" x14ac:dyDescent="0.35">
      <c r="K158" s="2" t="s">
        <v>910</v>
      </c>
      <c r="L158" s="2" t="s">
        <v>911</v>
      </c>
      <c r="M158" s="4">
        <v>2024</v>
      </c>
      <c r="N158" s="4">
        <v>10</v>
      </c>
      <c r="O158" s="12" t="s">
        <v>693</v>
      </c>
      <c r="P158" s="2" t="s">
        <v>912</v>
      </c>
      <c r="Q158" s="2" t="s">
        <v>913</v>
      </c>
      <c r="R158" s="2" t="s">
        <v>914</v>
      </c>
      <c r="S158" s="2" t="s">
        <v>915</v>
      </c>
    </row>
    <row r="159" spans="11:19" x14ac:dyDescent="0.35">
      <c r="K159" s="2" t="s">
        <v>916</v>
      </c>
      <c r="L159" s="2" t="s">
        <v>917</v>
      </c>
      <c r="M159" s="4">
        <v>2022</v>
      </c>
      <c r="N159" s="4">
        <v>12</v>
      </c>
      <c r="O159" s="12" t="s">
        <v>693</v>
      </c>
      <c r="P159" s="2" t="s">
        <v>918</v>
      </c>
      <c r="Q159" s="2" t="s">
        <v>919</v>
      </c>
      <c r="R159" s="2" t="s">
        <v>920</v>
      </c>
      <c r="S159" s="2" t="s">
        <v>921</v>
      </c>
    </row>
    <row r="160" spans="11:19" x14ac:dyDescent="0.35">
      <c r="K160" s="2" t="s">
        <v>922</v>
      </c>
      <c r="L160" s="2" t="s">
        <v>923</v>
      </c>
      <c r="M160" s="4">
        <v>2020</v>
      </c>
      <c r="N160" s="4">
        <v>10</v>
      </c>
      <c r="O160" s="12" t="s">
        <v>693</v>
      </c>
      <c r="P160" s="2" t="s">
        <v>2157</v>
      </c>
      <c r="Q160" s="2" t="s">
        <v>925</v>
      </c>
      <c r="R160" s="2" t="s">
        <v>926</v>
      </c>
      <c r="S160" s="2" t="s">
        <v>927</v>
      </c>
    </row>
    <row r="161" spans="11:19" x14ac:dyDescent="0.35">
      <c r="K161" s="2" t="s">
        <v>928</v>
      </c>
      <c r="L161" s="2" t="s">
        <v>929</v>
      </c>
      <c r="M161" s="4">
        <v>2021</v>
      </c>
      <c r="N161" s="4">
        <v>14</v>
      </c>
      <c r="O161" s="12" t="s">
        <v>693</v>
      </c>
      <c r="P161" s="2" t="s">
        <v>930</v>
      </c>
      <c r="Q161" s="2" t="s">
        <v>114</v>
      </c>
      <c r="R161" s="2" t="s">
        <v>931</v>
      </c>
      <c r="S161" s="2" t="s">
        <v>932</v>
      </c>
    </row>
    <row r="162" spans="11:19" x14ac:dyDescent="0.35">
      <c r="K162" s="2" t="s">
        <v>933</v>
      </c>
      <c r="L162" s="2" t="s">
        <v>934</v>
      </c>
      <c r="M162" s="4">
        <v>2021</v>
      </c>
      <c r="N162" s="4">
        <v>16</v>
      </c>
      <c r="O162" s="12" t="s">
        <v>935</v>
      </c>
      <c r="P162" s="2" t="s">
        <v>936</v>
      </c>
      <c r="Q162" s="2" t="s">
        <v>937</v>
      </c>
      <c r="R162" s="2" t="s">
        <v>938</v>
      </c>
      <c r="S162" s="2" t="s">
        <v>939</v>
      </c>
    </row>
    <row r="163" spans="11:19" x14ac:dyDescent="0.35">
      <c r="K163" s="2" t="s">
        <v>940</v>
      </c>
      <c r="L163" s="2" t="s">
        <v>941</v>
      </c>
      <c r="M163" s="4">
        <v>2024</v>
      </c>
      <c r="N163" s="4">
        <v>12</v>
      </c>
      <c r="O163" s="12" t="s">
        <v>935</v>
      </c>
      <c r="P163" s="2" t="s">
        <v>942</v>
      </c>
      <c r="Q163" s="2" t="s">
        <v>725</v>
      </c>
      <c r="R163" s="2" t="s">
        <v>943</v>
      </c>
      <c r="S163" s="2" t="s">
        <v>944</v>
      </c>
    </row>
    <row r="164" spans="11:19" x14ac:dyDescent="0.35">
      <c r="K164" s="2" t="s">
        <v>945</v>
      </c>
      <c r="L164" s="2" t="s">
        <v>946</v>
      </c>
      <c r="M164" s="4">
        <v>2012</v>
      </c>
      <c r="N164" s="4">
        <v>16</v>
      </c>
      <c r="O164" s="12" t="s">
        <v>935</v>
      </c>
      <c r="P164" s="2" t="s">
        <v>947</v>
      </c>
      <c r="Q164" s="2" t="s">
        <v>948</v>
      </c>
      <c r="R164" s="2" t="s">
        <v>949</v>
      </c>
      <c r="S164" s="2" t="s">
        <v>950</v>
      </c>
    </row>
    <row r="165" spans="11:19" x14ac:dyDescent="0.35">
      <c r="K165" s="2" t="s">
        <v>951</v>
      </c>
      <c r="L165" s="2" t="s">
        <v>952</v>
      </c>
      <c r="M165" s="4">
        <v>2022</v>
      </c>
      <c r="N165" s="4">
        <v>12</v>
      </c>
      <c r="O165" s="12" t="s">
        <v>935</v>
      </c>
      <c r="P165" s="2" t="s">
        <v>2100</v>
      </c>
      <c r="Q165" s="2" t="s">
        <v>954</v>
      </c>
      <c r="R165" s="2" t="s">
        <v>955</v>
      </c>
      <c r="S165" s="2" t="s">
        <v>956</v>
      </c>
    </row>
    <row r="166" spans="11:19" x14ac:dyDescent="0.35">
      <c r="K166" s="2" t="s">
        <v>957</v>
      </c>
      <c r="L166" s="2" t="s">
        <v>958</v>
      </c>
      <c r="M166" s="4">
        <v>2022</v>
      </c>
      <c r="N166" s="4">
        <v>16</v>
      </c>
      <c r="O166" s="12" t="s">
        <v>935</v>
      </c>
      <c r="P166" s="2" t="s">
        <v>2101</v>
      </c>
      <c r="Q166" s="2" t="s">
        <v>960</v>
      </c>
      <c r="R166" s="2" t="s">
        <v>961</v>
      </c>
      <c r="S166" s="2" t="s">
        <v>962</v>
      </c>
    </row>
    <row r="167" spans="11:19" x14ac:dyDescent="0.35">
      <c r="K167" s="2" t="s">
        <v>963</v>
      </c>
      <c r="L167" s="2" t="s">
        <v>964</v>
      </c>
      <c r="M167" s="4">
        <v>2017</v>
      </c>
      <c r="N167" s="4">
        <v>32</v>
      </c>
      <c r="O167" s="12" t="s">
        <v>935</v>
      </c>
      <c r="P167" s="2" t="s">
        <v>965</v>
      </c>
      <c r="Q167" s="2" t="s">
        <v>966</v>
      </c>
      <c r="R167" s="2" t="s">
        <v>967</v>
      </c>
      <c r="S167" s="2" t="s">
        <v>968</v>
      </c>
    </row>
    <row r="168" spans="11:19" x14ac:dyDescent="0.35">
      <c r="K168" s="2" t="s">
        <v>969</v>
      </c>
      <c r="L168" s="2" t="s">
        <v>970</v>
      </c>
      <c r="M168" s="4">
        <v>2020</v>
      </c>
      <c r="N168" s="4">
        <v>16</v>
      </c>
      <c r="O168" s="12" t="s">
        <v>935</v>
      </c>
      <c r="P168" s="2" t="s">
        <v>971</v>
      </c>
      <c r="Q168" s="2" t="s">
        <v>26</v>
      </c>
      <c r="R168" s="2" t="s">
        <v>972</v>
      </c>
      <c r="S168" s="2" t="s">
        <v>973</v>
      </c>
    </row>
    <row r="169" spans="11:19" x14ac:dyDescent="0.35">
      <c r="K169" s="2" t="s">
        <v>974</v>
      </c>
      <c r="L169" s="2" t="s">
        <v>975</v>
      </c>
      <c r="M169" s="4">
        <v>2018</v>
      </c>
      <c r="N169" s="4">
        <v>12</v>
      </c>
      <c r="O169" s="12" t="s">
        <v>935</v>
      </c>
      <c r="P169" s="2" t="s">
        <v>2158</v>
      </c>
      <c r="Q169" s="2" t="s">
        <v>2061</v>
      </c>
      <c r="R169" s="2" t="s">
        <v>2061</v>
      </c>
      <c r="S169" s="2" t="s">
        <v>2061</v>
      </c>
    </row>
    <row r="170" spans="11:19" x14ac:dyDescent="0.35">
      <c r="K170" s="2" t="s">
        <v>977</v>
      </c>
      <c r="L170" s="2" t="s">
        <v>978</v>
      </c>
      <c r="M170" s="4">
        <v>2021</v>
      </c>
      <c r="N170" s="4">
        <v>16</v>
      </c>
      <c r="O170" s="12" t="s">
        <v>935</v>
      </c>
      <c r="P170" s="2" t="s">
        <v>979</v>
      </c>
      <c r="Q170" s="2" t="s">
        <v>725</v>
      </c>
      <c r="R170" s="2" t="s">
        <v>980</v>
      </c>
      <c r="S170" s="2" t="s">
        <v>981</v>
      </c>
    </row>
    <row r="171" spans="11:19" x14ac:dyDescent="0.35">
      <c r="K171" s="2" t="s">
        <v>982</v>
      </c>
      <c r="L171" s="2" t="s">
        <v>983</v>
      </c>
      <c r="M171" s="4">
        <v>2017</v>
      </c>
      <c r="N171" s="4">
        <v>16</v>
      </c>
      <c r="O171" s="12" t="s">
        <v>935</v>
      </c>
      <c r="P171" s="2" t="s">
        <v>984</v>
      </c>
      <c r="Q171" s="2" t="s">
        <v>985</v>
      </c>
      <c r="R171" s="2" t="s">
        <v>986</v>
      </c>
      <c r="S171" s="2" t="s">
        <v>987</v>
      </c>
    </row>
    <row r="172" spans="11:19" x14ac:dyDescent="0.35">
      <c r="K172" s="2" t="s">
        <v>988</v>
      </c>
      <c r="L172" s="2" t="s">
        <v>989</v>
      </c>
      <c r="M172" s="4">
        <v>2019</v>
      </c>
      <c r="N172" s="4">
        <v>16</v>
      </c>
      <c r="O172" s="12" t="s">
        <v>935</v>
      </c>
      <c r="P172" s="2" t="s">
        <v>990</v>
      </c>
      <c r="Q172" s="2" t="s">
        <v>991</v>
      </c>
      <c r="R172" s="2" t="s">
        <v>992</v>
      </c>
      <c r="S172" s="2" t="s">
        <v>993</v>
      </c>
    </row>
    <row r="173" spans="11:19" x14ac:dyDescent="0.35">
      <c r="K173" s="2" t="s">
        <v>994</v>
      </c>
      <c r="L173" s="2" t="s">
        <v>995</v>
      </c>
      <c r="M173" s="4">
        <v>2022</v>
      </c>
      <c r="N173" s="4">
        <v>16</v>
      </c>
      <c r="O173" s="12" t="s">
        <v>935</v>
      </c>
      <c r="P173" s="2" t="s">
        <v>2159</v>
      </c>
      <c r="Q173" s="2" t="s">
        <v>997</v>
      </c>
      <c r="R173" s="2" t="s">
        <v>998</v>
      </c>
      <c r="S173" s="2" t="s">
        <v>999</v>
      </c>
    </row>
    <row r="174" spans="11:19" x14ac:dyDescent="0.35">
      <c r="K174" s="2" t="s">
        <v>1000</v>
      </c>
      <c r="L174" s="2" t="s">
        <v>1001</v>
      </c>
      <c r="M174" s="4">
        <v>2015</v>
      </c>
      <c r="N174" s="4">
        <v>16</v>
      </c>
      <c r="O174" s="12" t="s">
        <v>935</v>
      </c>
      <c r="P174" s="2" t="s">
        <v>2102</v>
      </c>
      <c r="Q174" s="2" t="s">
        <v>1003</v>
      </c>
      <c r="R174" s="2" t="s">
        <v>1004</v>
      </c>
      <c r="S174" s="2" t="s">
        <v>1005</v>
      </c>
    </row>
    <row r="175" spans="11:19" x14ac:dyDescent="0.35">
      <c r="K175" s="2" t="s">
        <v>1006</v>
      </c>
      <c r="L175" s="2" t="s">
        <v>1007</v>
      </c>
      <c r="M175" s="4">
        <v>2024</v>
      </c>
      <c r="N175" s="4">
        <v>6</v>
      </c>
      <c r="O175" s="12" t="s">
        <v>693</v>
      </c>
      <c r="P175" s="2" t="s">
        <v>2103</v>
      </c>
      <c r="Q175" s="2" t="s">
        <v>1009</v>
      </c>
      <c r="R175" s="2" t="s">
        <v>1010</v>
      </c>
      <c r="S175" s="2" t="s">
        <v>1011</v>
      </c>
    </row>
    <row r="176" spans="11:19" x14ac:dyDescent="0.35">
      <c r="K176" s="2" t="s">
        <v>1012</v>
      </c>
      <c r="L176" s="2" t="s">
        <v>1013</v>
      </c>
      <c r="M176" s="4">
        <v>2012</v>
      </c>
      <c r="N176" s="4">
        <v>20</v>
      </c>
      <c r="O176" s="12" t="s">
        <v>935</v>
      </c>
      <c r="P176" s="2" t="s">
        <v>1014</v>
      </c>
      <c r="Q176" s="2" t="s">
        <v>1015</v>
      </c>
      <c r="R176" s="2" t="s">
        <v>1016</v>
      </c>
      <c r="S176" s="2" t="s">
        <v>1017</v>
      </c>
    </row>
    <row r="177" spans="11:19" x14ac:dyDescent="0.35">
      <c r="K177" s="2" t="s">
        <v>1018</v>
      </c>
      <c r="L177" s="2" t="s">
        <v>1019</v>
      </c>
      <c r="M177" s="4">
        <v>2020</v>
      </c>
      <c r="N177" s="4">
        <v>12</v>
      </c>
      <c r="O177" s="12" t="s">
        <v>935</v>
      </c>
      <c r="P177" s="2" t="s">
        <v>2104</v>
      </c>
      <c r="Q177" s="2" t="s">
        <v>985</v>
      </c>
      <c r="R177" s="2" t="s">
        <v>1021</v>
      </c>
      <c r="S177" s="2" t="s">
        <v>1022</v>
      </c>
    </row>
    <row r="178" spans="11:19" x14ac:dyDescent="0.35">
      <c r="K178" s="2" t="s">
        <v>1023</v>
      </c>
      <c r="L178" s="2" t="s">
        <v>1024</v>
      </c>
      <c r="M178" s="4">
        <v>2022</v>
      </c>
      <c r="N178" s="4">
        <v>16</v>
      </c>
      <c r="O178" s="12" t="s">
        <v>935</v>
      </c>
      <c r="P178" s="2" t="s">
        <v>2105</v>
      </c>
      <c r="Q178" s="2" t="s">
        <v>409</v>
      </c>
      <c r="R178" s="2" t="s">
        <v>1026</v>
      </c>
      <c r="S178" s="2" t="s">
        <v>1027</v>
      </c>
    </row>
    <row r="179" spans="11:19" x14ac:dyDescent="0.35">
      <c r="K179" s="2" t="s">
        <v>1028</v>
      </c>
      <c r="L179" s="2" t="s">
        <v>1029</v>
      </c>
      <c r="M179" s="4">
        <v>2019</v>
      </c>
      <c r="N179" s="4">
        <v>16</v>
      </c>
      <c r="O179" s="12" t="s">
        <v>935</v>
      </c>
      <c r="P179" s="2" t="s">
        <v>1030</v>
      </c>
      <c r="Q179" s="2" t="s">
        <v>1031</v>
      </c>
      <c r="R179" s="2" t="s">
        <v>1032</v>
      </c>
      <c r="S179" s="2" t="s">
        <v>1033</v>
      </c>
    </row>
    <row r="180" spans="11:19" x14ac:dyDescent="0.35">
      <c r="K180" s="2" t="s">
        <v>1034</v>
      </c>
      <c r="L180" s="2" t="s">
        <v>1035</v>
      </c>
      <c r="M180" s="4">
        <v>2017</v>
      </c>
      <c r="N180" s="4">
        <v>16</v>
      </c>
      <c r="O180" s="12" t="s">
        <v>935</v>
      </c>
      <c r="P180" s="2" t="s">
        <v>1036</v>
      </c>
      <c r="Q180" s="2" t="s">
        <v>1037</v>
      </c>
      <c r="R180" s="2" t="s">
        <v>1038</v>
      </c>
      <c r="S180" s="2" t="s">
        <v>1039</v>
      </c>
    </row>
    <row r="181" spans="11:19" x14ac:dyDescent="0.35">
      <c r="K181" s="2" t="s">
        <v>1040</v>
      </c>
      <c r="L181" s="2" t="s">
        <v>1041</v>
      </c>
      <c r="M181" s="4">
        <v>2020</v>
      </c>
      <c r="N181" s="4">
        <v>8</v>
      </c>
      <c r="O181" s="12" t="s">
        <v>935</v>
      </c>
      <c r="P181" s="2" t="s">
        <v>2106</v>
      </c>
      <c r="Q181" s="2" t="s">
        <v>1043</v>
      </c>
      <c r="R181" s="2" t="s">
        <v>1044</v>
      </c>
      <c r="S181" s="2" t="s">
        <v>1045</v>
      </c>
    </row>
    <row r="182" spans="11:19" x14ac:dyDescent="0.35">
      <c r="K182" s="2" t="s">
        <v>1046</v>
      </c>
      <c r="L182" s="2" t="s">
        <v>1047</v>
      </c>
      <c r="M182" s="4">
        <v>2013</v>
      </c>
      <c r="N182" s="4">
        <v>20</v>
      </c>
      <c r="O182" s="12" t="s">
        <v>935</v>
      </c>
      <c r="P182" s="2" t="s">
        <v>1048</v>
      </c>
      <c r="Q182" s="2" t="s">
        <v>1049</v>
      </c>
      <c r="R182" s="2" t="s">
        <v>1050</v>
      </c>
      <c r="S182" s="2" t="s">
        <v>1051</v>
      </c>
    </row>
    <row r="183" spans="11:19" x14ac:dyDescent="0.35">
      <c r="K183" s="2" t="s">
        <v>1052</v>
      </c>
      <c r="L183" s="2" t="s">
        <v>1053</v>
      </c>
      <c r="M183" s="4">
        <v>2019</v>
      </c>
      <c r="N183" s="4">
        <v>32</v>
      </c>
      <c r="O183" s="12" t="s">
        <v>935</v>
      </c>
      <c r="P183" s="2" t="s">
        <v>2107</v>
      </c>
      <c r="Q183" s="2" t="s">
        <v>1055</v>
      </c>
      <c r="R183" s="2" t="s">
        <v>1056</v>
      </c>
      <c r="S183" s="2" t="s">
        <v>1057</v>
      </c>
    </row>
    <row r="184" spans="11:19" x14ac:dyDescent="0.35">
      <c r="K184" s="2" t="s">
        <v>1058</v>
      </c>
      <c r="L184" s="2" t="s">
        <v>1059</v>
      </c>
      <c r="M184" s="4">
        <v>2014</v>
      </c>
      <c r="N184" s="4">
        <v>20</v>
      </c>
      <c r="O184" s="12" t="s">
        <v>935</v>
      </c>
      <c r="P184" s="2" t="s">
        <v>2160</v>
      </c>
      <c r="Q184" s="2" t="s">
        <v>2061</v>
      </c>
      <c r="R184" s="2" t="s">
        <v>2061</v>
      </c>
      <c r="S184" s="2" t="s">
        <v>2061</v>
      </c>
    </row>
    <row r="185" spans="11:19" x14ac:dyDescent="0.35">
      <c r="K185" s="2" t="s">
        <v>1061</v>
      </c>
      <c r="L185" s="2" t="s">
        <v>1062</v>
      </c>
      <c r="M185" s="4">
        <v>2019</v>
      </c>
      <c r="N185" s="4">
        <v>32</v>
      </c>
      <c r="O185" s="12" t="s">
        <v>935</v>
      </c>
      <c r="P185" s="2" t="s">
        <v>2108</v>
      </c>
      <c r="Q185" s="2" t="s">
        <v>1064</v>
      </c>
      <c r="R185" s="2" t="s">
        <v>1065</v>
      </c>
      <c r="S185" s="2" t="s">
        <v>1066</v>
      </c>
    </row>
    <row r="186" spans="11:19" x14ac:dyDescent="0.35">
      <c r="K186" s="2" t="s">
        <v>1067</v>
      </c>
      <c r="L186" s="2" t="s">
        <v>1068</v>
      </c>
      <c r="M186" s="4">
        <v>2022</v>
      </c>
      <c r="N186" s="4">
        <v>16</v>
      </c>
      <c r="O186" s="12" t="s">
        <v>935</v>
      </c>
      <c r="P186" s="2" t="s">
        <v>2109</v>
      </c>
      <c r="Q186" s="2" t="s">
        <v>1070</v>
      </c>
      <c r="R186" s="2" t="s">
        <v>1071</v>
      </c>
      <c r="S186" s="2" t="s">
        <v>1072</v>
      </c>
    </row>
    <row r="187" spans="11:19" x14ac:dyDescent="0.35">
      <c r="K187" s="2" t="s">
        <v>1073</v>
      </c>
      <c r="L187" s="2" t="s">
        <v>1074</v>
      </c>
      <c r="M187" s="4">
        <v>2020</v>
      </c>
      <c r="N187" s="4">
        <v>16</v>
      </c>
      <c r="O187" s="12" t="s">
        <v>935</v>
      </c>
      <c r="P187" s="2" t="s">
        <v>2110</v>
      </c>
      <c r="Q187" s="2" t="s">
        <v>1076</v>
      </c>
      <c r="R187" s="2" t="s">
        <v>1077</v>
      </c>
      <c r="S187" s="2" t="s">
        <v>1078</v>
      </c>
    </row>
    <row r="188" spans="11:19" x14ac:dyDescent="0.35">
      <c r="K188" s="2" t="s">
        <v>1079</v>
      </c>
      <c r="L188" s="2" t="s">
        <v>1080</v>
      </c>
      <c r="M188" s="4">
        <v>2019</v>
      </c>
      <c r="N188" s="4">
        <v>16</v>
      </c>
      <c r="O188" s="12" t="s">
        <v>935</v>
      </c>
      <c r="P188" s="2" t="s">
        <v>2111</v>
      </c>
      <c r="Q188" s="2" t="s">
        <v>991</v>
      </c>
      <c r="R188" s="2" t="s">
        <v>1082</v>
      </c>
      <c r="S188" s="2" t="s">
        <v>1083</v>
      </c>
    </row>
    <row r="189" spans="11:19" x14ac:dyDescent="0.35">
      <c r="K189" s="2" t="s">
        <v>1084</v>
      </c>
      <c r="L189" s="2" t="s">
        <v>1085</v>
      </c>
      <c r="M189" s="4">
        <v>2017</v>
      </c>
      <c r="N189" s="4">
        <v>14</v>
      </c>
      <c r="O189" s="12" t="s">
        <v>935</v>
      </c>
      <c r="P189" s="2" t="s">
        <v>2161</v>
      </c>
      <c r="Q189" s="2" t="s">
        <v>1087</v>
      </c>
      <c r="R189" s="2" t="s">
        <v>1088</v>
      </c>
      <c r="S189" s="2" t="s">
        <v>1089</v>
      </c>
    </row>
    <row r="190" spans="11:19" x14ac:dyDescent="0.35">
      <c r="K190" s="2" t="s">
        <v>1090</v>
      </c>
      <c r="L190" s="2" t="s">
        <v>1091</v>
      </c>
      <c r="M190" s="4">
        <v>2013</v>
      </c>
      <c r="N190" s="4">
        <v>16</v>
      </c>
      <c r="O190" s="12" t="s">
        <v>935</v>
      </c>
      <c r="P190" s="2" t="s">
        <v>2112</v>
      </c>
      <c r="Q190" s="2" t="s">
        <v>1093</v>
      </c>
      <c r="R190" s="2" t="s">
        <v>1094</v>
      </c>
      <c r="S190" s="2" t="s">
        <v>1095</v>
      </c>
    </row>
    <row r="191" spans="11:19" x14ac:dyDescent="0.35">
      <c r="K191" s="2" t="s">
        <v>1096</v>
      </c>
      <c r="L191" s="2" t="s">
        <v>1097</v>
      </c>
      <c r="M191" s="4">
        <v>2022</v>
      </c>
      <c r="N191" s="4">
        <v>16</v>
      </c>
      <c r="O191" s="12" t="s">
        <v>935</v>
      </c>
      <c r="P191" s="2" t="s">
        <v>2113</v>
      </c>
      <c r="Q191" s="2" t="s">
        <v>1099</v>
      </c>
      <c r="R191" s="2" t="s">
        <v>1100</v>
      </c>
      <c r="S191" s="2" t="s">
        <v>1101</v>
      </c>
    </row>
    <row r="192" spans="11:19" x14ac:dyDescent="0.35">
      <c r="K192" s="2" t="s">
        <v>1102</v>
      </c>
      <c r="L192" s="2" t="s">
        <v>1103</v>
      </c>
      <c r="M192" s="4">
        <v>2022</v>
      </c>
      <c r="N192" s="4">
        <v>8</v>
      </c>
      <c r="O192" s="12" t="s">
        <v>935</v>
      </c>
      <c r="P192" s="2" t="s">
        <v>1104</v>
      </c>
      <c r="Q192" s="2" t="s">
        <v>1105</v>
      </c>
      <c r="R192" s="2" t="s">
        <v>1106</v>
      </c>
      <c r="S192" s="2" t="s">
        <v>1107</v>
      </c>
    </row>
    <row r="193" spans="11:19" x14ac:dyDescent="0.35">
      <c r="K193" s="2" t="s">
        <v>1108</v>
      </c>
      <c r="L193" s="2" t="s">
        <v>1109</v>
      </c>
      <c r="M193" s="4">
        <v>2021</v>
      </c>
      <c r="N193" s="4">
        <v>16</v>
      </c>
      <c r="O193" s="12" t="s">
        <v>935</v>
      </c>
      <c r="P193" s="2" t="s">
        <v>1110</v>
      </c>
      <c r="Q193" s="2" t="s">
        <v>1111</v>
      </c>
      <c r="R193" s="2" t="s">
        <v>1112</v>
      </c>
      <c r="S193" s="2" t="s">
        <v>1113</v>
      </c>
    </row>
    <row r="194" spans="11:19" x14ac:dyDescent="0.35">
      <c r="K194" s="2" t="s">
        <v>1114</v>
      </c>
      <c r="L194" s="2" t="s">
        <v>1115</v>
      </c>
      <c r="M194" s="4">
        <v>2022</v>
      </c>
      <c r="N194" s="4">
        <v>14</v>
      </c>
      <c r="O194" s="12" t="s">
        <v>935</v>
      </c>
      <c r="P194" s="2" t="s">
        <v>2114</v>
      </c>
      <c r="Q194" s="2" t="s">
        <v>1117</v>
      </c>
      <c r="R194" s="2" t="s">
        <v>1118</v>
      </c>
      <c r="S194" s="2" t="s">
        <v>1119</v>
      </c>
    </row>
    <row r="195" spans="11:19" x14ac:dyDescent="0.35">
      <c r="K195" s="2" t="s">
        <v>1120</v>
      </c>
      <c r="L195" s="2" t="s">
        <v>1121</v>
      </c>
      <c r="M195" s="4">
        <v>2019</v>
      </c>
      <c r="N195" s="4">
        <v>16</v>
      </c>
      <c r="O195" s="12" t="s">
        <v>935</v>
      </c>
      <c r="P195" s="2" t="s">
        <v>1122</v>
      </c>
      <c r="Q195" s="2" t="s">
        <v>1123</v>
      </c>
      <c r="R195" s="2" t="s">
        <v>1124</v>
      </c>
      <c r="S195" s="2" t="s">
        <v>1125</v>
      </c>
    </row>
    <row r="196" spans="11:19" x14ac:dyDescent="0.35">
      <c r="K196" s="2" t="s">
        <v>1126</v>
      </c>
      <c r="L196" s="2" t="s">
        <v>1127</v>
      </c>
      <c r="M196" s="4">
        <v>2021</v>
      </c>
      <c r="N196" s="4">
        <v>16</v>
      </c>
      <c r="O196" s="12" t="s">
        <v>935</v>
      </c>
      <c r="P196" s="2" t="s">
        <v>1128</v>
      </c>
      <c r="Q196" s="2" t="s">
        <v>1129</v>
      </c>
      <c r="R196" s="2" t="s">
        <v>1130</v>
      </c>
      <c r="S196" s="2" t="s">
        <v>1131</v>
      </c>
    </row>
    <row r="197" spans="11:19" x14ac:dyDescent="0.35">
      <c r="K197" s="2" t="s">
        <v>1132</v>
      </c>
      <c r="L197" s="2" t="s">
        <v>1133</v>
      </c>
      <c r="M197" s="4">
        <v>2018</v>
      </c>
      <c r="N197" s="4">
        <v>14</v>
      </c>
      <c r="O197" s="12" t="s">
        <v>935</v>
      </c>
      <c r="P197" s="2" t="s">
        <v>1134</v>
      </c>
      <c r="Q197" s="2" t="s">
        <v>352</v>
      </c>
      <c r="R197" s="2" t="s">
        <v>1135</v>
      </c>
      <c r="S197" s="2" t="s">
        <v>1136</v>
      </c>
    </row>
    <row r="198" spans="11:19" x14ac:dyDescent="0.35">
      <c r="K198" s="2" t="s">
        <v>1137</v>
      </c>
      <c r="L198" s="2" t="s">
        <v>1138</v>
      </c>
      <c r="M198" s="4">
        <v>2016</v>
      </c>
      <c r="N198" s="4">
        <v>20</v>
      </c>
      <c r="O198" s="12" t="s">
        <v>935</v>
      </c>
      <c r="P198" s="2" t="s">
        <v>2115</v>
      </c>
      <c r="Q198" s="2" t="s">
        <v>725</v>
      </c>
      <c r="R198" s="2" t="s">
        <v>1140</v>
      </c>
      <c r="S198" s="2" t="s">
        <v>1141</v>
      </c>
    </row>
    <row r="199" spans="11:19" x14ac:dyDescent="0.35">
      <c r="K199" s="2" t="s">
        <v>1142</v>
      </c>
      <c r="L199" s="2" t="s">
        <v>1143</v>
      </c>
      <c r="M199" s="4">
        <v>2018</v>
      </c>
      <c r="N199" s="4">
        <v>32</v>
      </c>
      <c r="O199" s="12" t="s">
        <v>935</v>
      </c>
      <c r="P199" s="2" t="s">
        <v>1144</v>
      </c>
      <c r="Q199" s="2" t="s">
        <v>1145</v>
      </c>
      <c r="R199" s="2" t="s">
        <v>1146</v>
      </c>
      <c r="S199" s="2" t="s">
        <v>1147</v>
      </c>
    </row>
    <row r="200" spans="11:19" x14ac:dyDescent="0.35">
      <c r="K200" s="2" t="s">
        <v>1148</v>
      </c>
      <c r="L200" s="2" t="s">
        <v>1149</v>
      </c>
      <c r="M200" s="4">
        <v>2018</v>
      </c>
      <c r="N200" s="4">
        <v>32</v>
      </c>
      <c r="O200" s="12" t="s">
        <v>935</v>
      </c>
      <c r="P200" s="2" t="s">
        <v>1150</v>
      </c>
      <c r="Q200" s="2" t="s">
        <v>1151</v>
      </c>
      <c r="R200" s="2" t="s">
        <v>1152</v>
      </c>
      <c r="S200" s="2" t="s">
        <v>1153</v>
      </c>
    </row>
    <row r="201" spans="11:19" x14ac:dyDescent="0.35">
      <c r="K201" s="2" t="s">
        <v>1154</v>
      </c>
      <c r="L201" s="2" t="s">
        <v>1155</v>
      </c>
      <c r="M201" s="4">
        <v>2022</v>
      </c>
      <c r="N201" s="4">
        <v>16</v>
      </c>
      <c r="O201" s="12" t="s">
        <v>935</v>
      </c>
      <c r="P201" s="2" t="s">
        <v>1156</v>
      </c>
      <c r="Q201" s="2" t="s">
        <v>1157</v>
      </c>
      <c r="R201" s="2" t="s">
        <v>1158</v>
      </c>
      <c r="S201" s="2" t="s">
        <v>1159</v>
      </c>
    </row>
    <row r="202" spans="11:19" x14ac:dyDescent="0.35">
      <c r="K202" s="2" t="s">
        <v>1160</v>
      </c>
      <c r="L202" s="2" t="s">
        <v>1161</v>
      </c>
      <c r="M202" s="4">
        <v>2019</v>
      </c>
      <c r="N202" s="4">
        <v>32</v>
      </c>
      <c r="O202" s="12" t="s">
        <v>935</v>
      </c>
      <c r="P202" s="2" t="s">
        <v>1162</v>
      </c>
      <c r="Q202" s="2" t="s">
        <v>1163</v>
      </c>
      <c r="R202" s="2" t="s">
        <v>1164</v>
      </c>
      <c r="S202" s="2" t="s">
        <v>1165</v>
      </c>
    </row>
    <row r="203" spans="11:19" x14ac:dyDescent="0.35">
      <c r="K203" s="2" t="s">
        <v>1166</v>
      </c>
      <c r="L203" s="2" t="s">
        <v>1167</v>
      </c>
      <c r="M203" s="4">
        <v>2019</v>
      </c>
      <c r="N203" s="4">
        <v>16</v>
      </c>
      <c r="O203" s="12" t="s">
        <v>935</v>
      </c>
      <c r="P203" s="2" t="s">
        <v>1168</v>
      </c>
      <c r="Q203" s="2" t="s">
        <v>1169</v>
      </c>
      <c r="R203" s="2" t="s">
        <v>1170</v>
      </c>
      <c r="S203" s="2" t="s">
        <v>1171</v>
      </c>
    </row>
    <row r="204" spans="11:19" x14ac:dyDescent="0.35">
      <c r="K204" s="2" t="s">
        <v>1172</v>
      </c>
      <c r="L204" s="2" t="s">
        <v>1173</v>
      </c>
      <c r="M204" s="4">
        <v>2024</v>
      </c>
      <c r="N204" s="4">
        <v>12</v>
      </c>
      <c r="O204" s="12" t="s">
        <v>935</v>
      </c>
      <c r="P204" s="2" t="s">
        <v>1174</v>
      </c>
      <c r="Q204" s="2" t="s">
        <v>1175</v>
      </c>
      <c r="R204" s="2" t="s">
        <v>1176</v>
      </c>
      <c r="S204" s="2" t="s">
        <v>1177</v>
      </c>
    </row>
    <row r="205" spans="11:19" x14ac:dyDescent="0.35">
      <c r="K205" s="2" t="s">
        <v>1178</v>
      </c>
      <c r="L205" s="2" t="s">
        <v>1179</v>
      </c>
      <c r="M205" s="4">
        <v>2018</v>
      </c>
      <c r="N205" s="4">
        <v>16</v>
      </c>
      <c r="O205" s="12" t="s">
        <v>935</v>
      </c>
      <c r="P205" s="2" t="s">
        <v>1180</v>
      </c>
      <c r="Q205" s="2" t="s">
        <v>2061</v>
      </c>
      <c r="R205" s="2" t="s">
        <v>2061</v>
      </c>
      <c r="S205" s="2" t="s">
        <v>2061</v>
      </c>
    </row>
    <row r="206" spans="11:19" x14ac:dyDescent="0.35">
      <c r="K206" s="2" t="s">
        <v>1181</v>
      </c>
      <c r="L206" s="2" t="s">
        <v>1182</v>
      </c>
      <c r="M206" s="4">
        <v>2020</v>
      </c>
      <c r="N206" s="4">
        <v>16</v>
      </c>
      <c r="O206" s="12" t="s">
        <v>935</v>
      </c>
      <c r="P206" s="2" t="s">
        <v>1183</v>
      </c>
      <c r="Q206" s="2" t="s">
        <v>1184</v>
      </c>
      <c r="R206" s="2" t="s">
        <v>1185</v>
      </c>
      <c r="S206" s="2" t="s">
        <v>1186</v>
      </c>
    </row>
    <row r="207" spans="11:19" x14ac:dyDescent="0.35">
      <c r="K207" s="2" t="s">
        <v>1187</v>
      </c>
      <c r="L207" s="2" t="s">
        <v>1188</v>
      </c>
      <c r="M207" s="4">
        <v>2023</v>
      </c>
      <c r="N207" s="4">
        <v>10</v>
      </c>
      <c r="O207" s="12" t="s">
        <v>935</v>
      </c>
      <c r="P207" s="2" t="s">
        <v>1189</v>
      </c>
      <c r="Q207" s="2" t="s">
        <v>1190</v>
      </c>
      <c r="R207" s="2" t="s">
        <v>1191</v>
      </c>
      <c r="S207" s="2" t="s">
        <v>1192</v>
      </c>
    </row>
    <row r="208" spans="11:19" x14ac:dyDescent="0.35">
      <c r="K208" s="2" t="s">
        <v>1193</v>
      </c>
      <c r="L208" s="2" t="s">
        <v>1194</v>
      </c>
      <c r="M208" s="4">
        <v>2020</v>
      </c>
      <c r="N208" s="4">
        <v>16</v>
      </c>
      <c r="O208" s="12" t="s">
        <v>935</v>
      </c>
      <c r="P208" s="2" t="s">
        <v>1195</v>
      </c>
      <c r="Q208" s="2" t="s">
        <v>284</v>
      </c>
      <c r="R208" s="2" t="s">
        <v>1196</v>
      </c>
      <c r="S208" s="2" t="s">
        <v>1197</v>
      </c>
    </row>
    <row r="209" spans="11:19" x14ac:dyDescent="0.35">
      <c r="K209" s="2" t="s">
        <v>1198</v>
      </c>
      <c r="L209" s="2" t="s">
        <v>1199</v>
      </c>
      <c r="M209" s="4">
        <v>2023</v>
      </c>
      <c r="N209" s="4">
        <v>12</v>
      </c>
      <c r="O209" s="12" t="s">
        <v>935</v>
      </c>
      <c r="P209" s="2" t="s">
        <v>2116</v>
      </c>
      <c r="Q209" s="2" t="s">
        <v>725</v>
      </c>
      <c r="R209" s="2" t="s">
        <v>1201</v>
      </c>
      <c r="S209" s="2" t="s">
        <v>1202</v>
      </c>
    </row>
    <row r="210" spans="11:19" x14ac:dyDescent="0.35">
      <c r="K210" s="2" t="s">
        <v>1203</v>
      </c>
      <c r="L210" s="2" t="s">
        <v>1204</v>
      </c>
      <c r="M210" s="4">
        <v>2019</v>
      </c>
      <c r="N210" s="4">
        <v>16</v>
      </c>
      <c r="O210" s="12" t="s">
        <v>935</v>
      </c>
      <c r="P210" s="2" t="s">
        <v>1205</v>
      </c>
      <c r="Q210" s="2" t="s">
        <v>1206</v>
      </c>
      <c r="R210" s="2" t="s">
        <v>1207</v>
      </c>
      <c r="S210" s="2" t="s">
        <v>1208</v>
      </c>
    </row>
    <row r="211" spans="11:19" x14ac:dyDescent="0.35">
      <c r="K211" s="2" t="s">
        <v>1209</v>
      </c>
      <c r="L211" s="2" t="s">
        <v>1210</v>
      </c>
      <c r="M211" s="4">
        <v>2019</v>
      </c>
      <c r="N211" s="4">
        <v>32</v>
      </c>
      <c r="O211" s="12" t="s">
        <v>935</v>
      </c>
      <c r="P211" s="2" t="s">
        <v>1211</v>
      </c>
      <c r="Q211" s="2" t="s">
        <v>386</v>
      </c>
      <c r="R211" s="2" t="s">
        <v>1212</v>
      </c>
      <c r="S211" s="2" t="s">
        <v>1213</v>
      </c>
    </row>
    <row r="212" spans="11:19" x14ac:dyDescent="0.35">
      <c r="K212" s="2" t="s">
        <v>1214</v>
      </c>
      <c r="L212" s="2" t="s">
        <v>1215</v>
      </c>
      <c r="M212" s="4">
        <v>2022</v>
      </c>
      <c r="N212" s="4">
        <v>4</v>
      </c>
      <c r="O212" s="12" t="s">
        <v>935</v>
      </c>
      <c r="P212" s="2" t="s">
        <v>1216</v>
      </c>
      <c r="Q212" s="2" t="s">
        <v>1217</v>
      </c>
      <c r="R212" s="2" t="s">
        <v>1218</v>
      </c>
      <c r="S212" s="2" t="s">
        <v>1219</v>
      </c>
    </row>
    <row r="213" spans="11:19" x14ac:dyDescent="0.35">
      <c r="K213" s="2" t="s">
        <v>1220</v>
      </c>
      <c r="L213" s="2" t="s">
        <v>1221</v>
      </c>
      <c r="M213" s="4">
        <v>2011</v>
      </c>
      <c r="N213" s="4">
        <v>20</v>
      </c>
      <c r="O213" s="12" t="s">
        <v>935</v>
      </c>
      <c r="P213" s="2" t="s">
        <v>1222</v>
      </c>
      <c r="Q213" s="2" t="s">
        <v>1223</v>
      </c>
      <c r="R213" s="2" t="s">
        <v>1224</v>
      </c>
      <c r="S213" s="2" t="s">
        <v>1225</v>
      </c>
    </row>
    <row r="214" spans="11:19" x14ac:dyDescent="0.35">
      <c r="K214" s="2" t="s">
        <v>1226</v>
      </c>
      <c r="L214" s="2" t="s">
        <v>1227</v>
      </c>
      <c r="M214" s="4">
        <v>2019</v>
      </c>
      <c r="N214" s="4">
        <v>16</v>
      </c>
      <c r="O214" s="12" t="s">
        <v>1228</v>
      </c>
      <c r="P214" s="2" t="s">
        <v>1229</v>
      </c>
      <c r="Q214" s="2" t="s">
        <v>1230</v>
      </c>
      <c r="R214" s="2" t="s">
        <v>1231</v>
      </c>
      <c r="S214" s="2" t="s">
        <v>1232</v>
      </c>
    </row>
    <row r="215" spans="11:19" x14ac:dyDescent="0.35">
      <c r="K215" s="2" t="s">
        <v>1233</v>
      </c>
      <c r="L215" s="2" t="s">
        <v>1234</v>
      </c>
      <c r="M215" s="4">
        <v>2018</v>
      </c>
      <c r="N215" s="4">
        <v>16</v>
      </c>
      <c r="O215" s="12" t="s">
        <v>1228</v>
      </c>
      <c r="P215" s="2" t="s">
        <v>2117</v>
      </c>
      <c r="Q215" s="2" t="s">
        <v>1236</v>
      </c>
      <c r="R215" s="2" t="s">
        <v>1237</v>
      </c>
      <c r="S215" s="2" t="s">
        <v>1238</v>
      </c>
    </row>
    <row r="216" spans="11:19" x14ac:dyDescent="0.35">
      <c r="K216" s="2" t="s">
        <v>1239</v>
      </c>
      <c r="L216" s="2" t="s">
        <v>1240</v>
      </c>
      <c r="M216" s="4">
        <v>2021</v>
      </c>
      <c r="N216" s="4">
        <v>12</v>
      </c>
      <c r="O216" s="12" t="s">
        <v>1228</v>
      </c>
      <c r="P216" s="2" t="s">
        <v>1241</v>
      </c>
      <c r="Q216" s="2" t="s">
        <v>1242</v>
      </c>
      <c r="R216" s="2" t="s">
        <v>1243</v>
      </c>
      <c r="S216" s="2" t="s">
        <v>1244</v>
      </c>
    </row>
    <row r="217" spans="11:19" x14ac:dyDescent="0.35">
      <c r="K217" s="2" t="s">
        <v>1245</v>
      </c>
      <c r="L217" s="2" t="s">
        <v>1246</v>
      </c>
      <c r="M217" s="4">
        <v>2020</v>
      </c>
      <c r="N217" s="4">
        <v>16</v>
      </c>
      <c r="O217" s="12" t="s">
        <v>1228</v>
      </c>
      <c r="P217" s="2" t="s">
        <v>2118</v>
      </c>
      <c r="Q217" s="2" t="s">
        <v>1248</v>
      </c>
      <c r="R217" s="2" t="s">
        <v>1249</v>
      </c>
      <c r="S217" s="2" t="s">
        <v>1250</v>
      </c>
    </row>
    <row r="218" spans="11:19" x14ac:dyDescent="0.35">
      <c r="K218" s="2" t="s">
        <v>1251</v>
      </c>
      <c r="L218" s="2" t="s">
        <v>1252</v>
      </c>
      <c r="M218" s="4">
        <v>2022</v>
      </c>
      <c r="N218" s="4">
        <v>6</v>
      </c>
      <c r="O218" s="12" t="s">
        <v>1228</v>
      </c>
      <c r="P218" s="2" t="s">
        <v>1253</v>
      </c>
      <c r="Q218" s="2" t="s">
        <v>2061</v>
      </c>
      <c r="R218" s="2" t="s">
        <v>2061</v>
      </c>
      <c r="S218" s="2" t="s">
        <v>2061</v>
      </c>
    </row>
    <row r="219" spans="11:19" x14ac:dyDescent="0.35">
      <c r="K219" s="2" t="s">
        <v>1254</v>
      </c>
      <c r="L219" s="2" t="s">
        <v>1255</v>
      </c>
      <c r="M219" s="4">
        <v>2021</v>
      </c>
      <c r="N219" s="4">
        <v>8</v>
      </c>
      <c r="O219" s="12" t="s">
        <v>1228</v>
      </c>
      <c r="P219" s="2" t="s">
        <v>1256</v>
      </c>
      <c r="Q219" s="2" t="s">
        <v>1257</v>
      </c>
      <c r="R219" s="2" t="s">
        <v>1258</v>
      </c>
      <c r="S219" s="2" t="s">
        <v>1259</v>
      </c>
    </row>
    <row r="220" spans="11:19" x14ac:dyDescent="0.35">
      <c r="K220" s="2" t="s">
        <v>1260</v>
      </c>
      <c r="L220" s="2" t="s">
        <v>1261</v>
      </c>
      <c r="M220" s="4">
        <v>2013</v>
      </c>
      <c r="N220" s="4">
        <v>20</v>
      </c>
      <c r="O220" s="12" t="s">
        <v>1228</v>
      </c>
      <c r="P220" s="2" t="s">
        <v>1262</v>
      </c>
      <c r="Q220" s="2" t="s">
        <v>960</v>
      </c>
      <c r="R220" s="2" t="s">
        <v>1263</v>
      </c>
      <c r="S220" s="2" t="s">
        <v>1264</v>
      </c>
    </row>
    <row r="221" spans="11:19" x14ac:dyDescent="0.35">
      <c r="K221" s="2" t="s">
        <v>1265</v>
      </c>
      <c r="L221" s="2" t="s">
        <v>1266</v>
      </c>
      <c r="M221" s="4">
        <v>2021</v>
      </c>
      <c r="N221" s="4">
        <v>1</v>
      </c>
      <c r="O221" s="12" t="s">
        <v>1228</v>
      </c>
      <c r="P221" s="2" t="s">
        <v>1267</v>
      </c>
      <c r="Q221" s="2" t="s">
        <v>1268</v>
      </c>
      <c r="R221" s="2" t="s">
        <v>1269</v>
      </c>
      <c r="S221" s="2" t="s">
        <v>1270</v>
      </c>
    </row>
    <row r="222" spans="11:19" x14ac:dyDescent="0.35">
      <c r="K222" s="2" t="s">
        <v>1271</v>
      </c>
      <c r="L222" s="2" t="s">
        <v>1272</v>
      </c>
      <c r="M222" s="4">
        <v>2022</v>
      </c>
      <c r="N222" s="4">
        <v>16</v>
      </c>
      <c r="O222" s="12" t="s">
        <v>1228</v>
      </c>
      <c r="P222" s="2" t="s">
        <v>1273</v>
      </c>
      <c r="Q222" s="2" t="s">
        <v>319</v>
      </c>
      <c r="R222" s="2" t="s">
        <v>1274</v>
      </c>
      <c r="S222" s="2" t="s">
        <v>1275</v>
      </c>
    </row>
    <row r="223" spans="11:19" x14ac:dyDescent="0.35">
      <c r="K223" s="2" t="s">
        <v>1276</v>
      </c>
      <c r="L223" s="2" t="s">
        <v>1277</v>
      </c>
      <c r="M223" s="4">
        <v>2020</v>
      </c>
      <c r="N223" s="4">
        <v>16</v>
      </c>
      <c r="O223" s="12" t="s">
        <v>1228</v>
      </c>
      <c r="P223" s="2" t="s">
        <v>1278</v>
      </c>
      <c r="Q223" s="2" t="s">
        <v>1157</v>
      </c>
      <c r="R223" s="2" t="s">
        <v>1279</v>
      </c>
      <c r="S223" s="2" t="s">
        <v>1280</v>
      </c>
    </row>
    <row r="224" spans="11:19" x14ac:dyDescent="0.35">
      <c r="K224" s="2" t="s">
        <v>1281</v>
      </c>
      <c r="L224" s="2" t="s">
        <v>1282</v>
      </c>
      <c r="M224" s="4">
        <v>2015</v>
      </c>
      <c r="N224" s="4">
        <v>16</v>
      </c>
      <c r="O224" s="12" t="s">
        <v>1228</v>
      </c>
      <c r="P224" s="2" t="s">
        <v>2119</v>
      </c>
      <c r="Q224" s="2" t="s">
        <v>1284</v>
      </c>
      <c r="R224" s="2" t="s">
        <v>1285</v>
      </c>
      <c r="S224" s="2" t="s">
        <v>1286</v>
      </c>
    </row>
    <row r="225" spans="11:19" x14ac:dyDescent="0.35">
      <c r="K225" s="2" t="s">
        <v>1287</v>
      </c>
      <c r="L225" s="2" t="s">
        <v>1288</v>
      </c>
      <c r="M225" s="4">
        <v>2014</v>
      </c>
      <c r="N225" s="4">
        <v>16</v>
      </c>
      <c r="O225" s="12" t="s">
        <v>1228</v>
      </c>
      <c r="P225" s="2" t="s">
        <v>1289</v>
      </c>
      <c r="Q225" s="2" t="s">
        <v>1290</v>
      </c>
      <c r="R225" s="2" t="s">
        <v>1291</v>
      </c>
      <c r="S225" s="2" t="s">
        <v>1292</v>
      </c>
    </row>
    <row r="226" spans="11:19" x14ac:dyDescent="0.35">
      <c r="K226" s="2" t="s">
        <v>1293</v>
      </c>
      <c r="L226" s="2" t="s">
        <v>1294</v>
      </c>
      <c r="M226" s="4">
        <v>2016</v>
      </c>
      <c r="N226" s="4">
        <v>20</v>
      </c>
      <c r="O226" s="12" t="s">
        <v>1228</v>
      </c>
      <c r="P226" s="2" t="s">
        <v>1295</v>
      </c>
      <c r="Q226" s="2" t="s">
        <v>1296</v>
      </c>
      <c r="R226" s="2" t="s">
        <v>1297</v>
      </c>
      <c r="S226" s="2" t="s">
        <v>1298</v>
      </c>
    </row>
    <row r="227" spans="11:19" x14ac:dyDescent="0.35">
      <c r="K227" s="2" t="s">
        <v>1299</v>
      </c>
      <c r="L227" s="2" t="s">
        <v>1300</v>
      </c>
      <c r="M227" s="4">
        <v>2021</v>
      </c>
      <c r="N227" s="4">
        <v>12</v>
      </c>
      <c r="O227" s="12" t="s">
        <v>1228</v>
      </c>
      <c r="P227" s="2" t="s">
        <v>1301</v>
      </c>
      <c r="Q227" s="2" t="s">
        <v>1302</v>
      </c>
      <c r="R227" s="2" t="s">
        <v>1303</v>
      </c>
      <c r="S227" s="2" t="s">
        <v>1304</v>
      </c>
    </row>
    <row r="228" spans="11:19" x14ac:dyDescent="0.35">
      <c r="K228" s="2" t="s">
        <v>1305</v>
      </c>
      <c r="L228" s="2" t="s">
        <v>1306</v>
      </c>
      <c r="M228" s="4">
        <v>2019</v>
      </c>
      <c r="N228" s="4">
        <v>16</v>
      </c>
      <c r="O228" s="12" t="s">
        <v>1228</v>
      </c>
      <c r="P228" s="2" t="s">
        <v>2120</v>
      </c>
      <c r="Q228" s="2" t="s">
        <v>1308</v>
      </c>
      <c r="R228" s="2" t="s">
        <v>1309</v>
      </c>
      <c r="S228" s="2" t="s">
        <v>1310</v>
      </c>
    </row>
    <row r="229" spans="11:19" x14ac:dyDescent="0.35">
      <c r="K229" s="2" t="s">
        <v>1311</v>
      </c>
      <c r="L229" s="2" t="s">
        <v>1312</v>
      </c>
      <c r="M229" s="4">
        <v>2013</v>
      </c>
      <c r="N229" s="4">
        <v>24</v>
      </c>
      <c r="O229" s="12" t="s">
        <v>1228</v>
      </c>
      <c r="P229" s="2" t="s">
        <v>1313</v>
      </c>
      <c r="Q229" s="2" t="s">
        <v>2061</v>
      </c>
      <c r="R229" s="2" t="s">
        <v>2061</v>
      </c>
      <c r="S229" s="2" t="s">
        <v>2061</v>
      </c>
    </row>
    <row r="230" spans="11:19" x14ac:dyDescent="0.35">
      <c r="K230" s="2" t="s">
        <v>1314</v>
      </c>
      <c r="L230" s="2" t="s">
        <v>1315</v>
      </c>
      <c r="M230" s="4">
        <v>2018</v>
      </c>
      <c r="N230" s="4">
        <v>6</v>
      </c>
      <c r="O230" s="12" t="s">
        <v>1228</v>
      </c>
      <c r="P230" s="2" t="s">
        <v>2162</v>
      </c>
      <c r="Q230" s="2" t="s">
        <v>1317</v>
      </c>
      <c r="R230" s="2" t="s">
        <v>1318</v>
      </c>
      <c r="S230" s="2" t="s">
        <v>1319</v>
      </c>
    </row>
    <row r="231" spans="11:19" x14ac:dyDescent="0.35">
      <c r="K231" s="2" t="s">
        <v>1320</v>
      </c>
      <c r="L231" s="2" t="s">
        <v>1321</v>
      </c>
      <c r="M231" s="4">
        <v>2006</v>
      </c>
      <c r="N231" s="4">
        <v>81</v>
      </c>
      <c r="O231" s="12" t="s">
        <v>1228</v>
      </c>
      <c r="P231" s="2" t="s">
        <v>1322</v>
      </c>
      <c r="Q231" s="2" t="s">
        <v>1323</v>
      </c>
      <c r="R231" s="2" t="s">
        <v>1324</v>
      </c>
      <c r="S231" s="2" t="s">
        <v>1325</v>
      </c>
    </row>
    <row r="232" spans="11:19" x14ac:dyDescent="0.35">
      <c r="K232" s="2" t="s">
        <v>1326</v>
      </c>
      <c r="L232" s="2" t="s">
        <v>1327</v>
      </c>
      <c r="M232" s="4">
        <v>2012</v>
      </c>
      <c r="N232" s="4">
        <v>11</v>
      </c>
      <c r="O232" s="12" t="s">
        <v>1228</v>
      </c>
      <c r="P232" s="2" t="s">
        <v>2163</v>
      </c>
      <c r="Q232" s="2" t="s">
        <v>1329</v>
      </c>
      <c r="R232" s="2" t="s">
        <v>1330</v>
      </c>
      <c r="S232" s="2" t="s">
        <v>1331</v>
      </c>
    </row>
    <row r="233" spans="11:19" x14ac:dyDescent="0.35">
      <c r="K233" s="2" t="s">
        <v>1332</v>
      </c>
      <c r="L233" s="2" t="s">
        <v>1333</v>
      </c>
      <c r="M233" s="4">
        <v>2013</v>
      </c>
      <c r="N233" s="4">
        <v>133</v>
      </c>
      <c r="O233" s="12" t="s">
        <v>1228</v>
      </c>
      <c r="P233" s="2" t="s">
        <v>2121</v>
      </c>
      <c r="Q233" s="2" t="s">
        <v>1335</v>
      </c>
      <c r="R233" s="2" t="s">
        <v>1336</v>
      </c>
      <c r="S233" s="2" t="s">
        <v>1337</v>
      </c>
    </row>
    <row r="234" spans="11:19" x14ac:dyDescent="0.35">
      <c r="K234" s="2" t="s">
        <v>1338</v>
      </c>
      <c r="L234" s="2" t="s">
        <v>1339</v>
      </c>
      <c r="M234" s="4">
        <v>2018</v>
      </c>
      <c r="N234" s="4">
        <v>16</v>
      </c>
      <c r="O234" s="12" t="s">
        <v>1228</v>
      </c>
      <c r="P234" s="2" t="s">
        <v>1340</v>
      </c>
      <c r="Q234" s="2" t="s">
        <v>1145</v>
      </c>
      <c r="R234" s="2" t="s">
        <v>1341</v>
      </c>
      <c r="S234" s="2" t="s">
        <v>1342</v>
      </c>
    </row>
    <row r="235" spans="11:19" x14ac:dyDescent="0.35">
      <c r="K235" s="2" t="s">
        <v>1343</v>
      </c>
      <c r="L235" s="2" t="s">
        <v>1344</v>
      </c>
      <c r="M235" s="4">
        <v>2019</v>
      </c>
      <c r="N235" s="4">
        <v>16</v>
      </c>
      <c r="O235" s="12" t="s">
        <v>1228</v>
      </c>
      <c r="P235" s="2" t="s">
        <v>1345</v>
      </c>
      <c r="Q235" s="2" t="s">
        <v>1346</v>
      </c>
      <c r="R235" s="2" t="s">
        <v>1347</v>
      </c>
      <c r="S235" s="2" t="s">
        <v>1348</v>
      </c>
    </row>
    <row r="236" spans="11:19" x14ac:dyDescent="0.35">
      <c r="K236" s="2" t="s">
        <v>1349</v>
      </c>
      <c r="L236" s="2" t="s">
        <v>1350</v>
      </c>
      <c r="M236" s="4">
        <v>2019</v>
      </c>
      <c r="N236" s="4">
        <v>16</v>
      </c>
      <c r="O236" s="12" t="s">
        <v>1228</v>
      </c>
      <c r="P236" s="2" t="s">
        <v>1351</v>
      </c>
      <c r="Q236" s="2" t="s">
        <v>573</v>
      </c>
      <c r="R236" s="2" t="s">
        <v>1352</v>
      </c>
      <c r="S236" s="2" t="s">
        <v>1353</v>
      </c>
    </row>
    <row r="237" spans="11:19" x14ac:dyDescent="0.35">
      <c r="K237" s="2" t="s">
        <v>1354</v>
      </c>
      <c r="L237" s="2" t="s">
        <v>1355</v>
      </c>
      <c r="M237" s="4">
        <v>2022</v>
      </c>
      <c r="N237" s="4">
        <v>16</v>
      </c>
      <c r="O237" s="12" t="s">
        <v>1228</v>
      </c>
      <c r="P237" s="2" t="s">
        <v>2164</v>
      </c>
      <c r="Q237" s="2" t="s">
        <v>1357</v>
      </c>
      <c r="R237" s="2" t="s">
        <v>1358</v>
      </c>
      <c r="S237" s="2" t="s">
        <v>1359</v>
      </c>
    </row>
    <row r="238" spans="11:19" x14ac:dyDescent="0.35">
      <c r="K238" s="2" t="s">
        <v>1360</v>
      </c>
      <c r="L238" s="2" t="s">
        <v>1361</v>
      </c>
      <c r="M238" s="4">
        <v>2022</v>
      </c>
      <c r="N238" s="4">
        <v>6</v>
      </c>
      <c r="O238" s="12" t="s">
        <v>1228</v>
      </c>
      <c r="P238" s="2" t="s">
        <v>1362</v>
      </c>
      <c r="Q238" s="2" t="s">
        <v>1302</v>
      </c>
      <c r="R238" s="2" t="s">
        <v>1363</v>
      </c>
      <c r="S238" s="2" t="s">
        <v>1364</v>
      </c>
    </row>
    <row r="239" spans="11:19" x14ac:dyDescent="0.35">
      <c r="K239" s="2" t="s">
        <v>1365</v>
      </c>
      <c r="L239" s="2" t="s">
        <v>1366</v>
      </c>
      <c r="M239" s="4">
        <v>2018</v>
      </c>
      <c r="N239" s="4">
        <v>36</v>
      </c>
      <c r="O239" s="12" t="s">
        <v>1228</v>
      </c>
      <c r="P239" s="2" t="s">
        <v>1367</v>
      </c>
      <c r="Q239" s="2" t="s">
        <v>1368</v>
      </c>
      <c r="R239" s="2" t="s">
        <v>1369</v>
      </c>
      <c r="S239" s="2" t="s">
        <v>1370</v>
      </c>
    </row>
    <row r="240" spans="11:19" x14ac:dyDescent="0.35">
      <c r="K240" s="2" t="s">
        <v>1371</v>
      </c>
      <c r="L240" s="2" t="s">
        <v>1372</v>
      </c>
      <c r="M240" s="4">
        <v>2020</v>
      </c>
      <c r="N240" s="4">
        <v>16</v>
      </c>
      <c r="O240" s="12" t="s">
        <v>1228</v>
      </c>
      <c r="P240" s="2" t="s">
        <v>1373</v>
      </c>
      <c r="Q240" s="2" t="s">
        <v>1374</v>
      </c>
      <c r="R240" s="2" t="s">
        <v>1375</v>
      </c>
      <c r="S240" s="2" t="s">
        <v>1376</v>
      </c>
    </row>
    <row r="241" spans="11:19" x14ac:dyDescent="0.35">
      <c r="K241" s="2" t="s">
        <v>1377</v>
      </c>
      <c r="L241" s="2" t="s">
        <v>1378</v>
      </c>
      <c r="M241" s="4">
        <v>2018</v>
      </c>
      <c r="N241" s="4">
        <v>16</v>
      </c>
      <c r="O241" s="12" t="s">
        <v>1228</v>
      </c>
      <c r="P241" s="2" t="s">
        <v>1379</v>
      </c>
      <c r="Q241" s="2" t="s">
        <v>1380</v>
      </c>
      <c r="R241" s="2" t="s">
        <v>1381</v>
      </c>
      <c r="S241" s="2" t="s">
        <v>1382</v>
      </c>
    </row>
    <row r="242" spans="11:19" x14ac:dyDescent="0.35">
      <c r="K242" s="2" t="s">
        <v>1383</v>
      </c>
      <c r="L242" s="2" t="s">
        <v>1384</v>
      </c>
      <c r="M242" s="4">
        <v>2020</v>
      </c>
      <c r="N242" s="4">
        <v>12</v>
      </c>
      <c r="O242" s="12" t="s">
        <v>1228</v>
      </c>
      <c r="P242" s="2" t="s">
        <v>2122</v>
      </c>
      <c r="Q242" s="2" t="s">
        <v>1386</v>
      </c>
      <c r="R242" s="2" t="s">
        <v>1387</v>
      </c>
      <c r="S242" s="2" t="s">
        <v>1388</v>
      </c>
    </row>
    <row r="243" spans="11:19" x14ac:dyDescent="0.35">
      <c r="K243" s="2" t="s">
        <v>1389</v>
      </c>
      <c r="L243" s="2" t="s">
        <v>1390</v>
      </c>
      <c r="M243" s="4">
        <v>2017</v>
      </c>
      <c r="N243" s="4">
        <v>32</v>
      </c>
      <c r="O243" s="12" t="s">
        <v>1228</v>
      </c>
      <c r="P243" s="2" t="s">
        <v>2165</v>
      </c>
      <c r="Q243" s="2" t="s">
        <v>1392</v>
      </c>
      <c r="R243" s="2" t="s">
        <v>1393</v>
      </c>
      <c r="S243" s="2" t="s">
        <v>1394</v>
      </c>
    </row>
    <row r="244" spans="11:19" x14ac:dyDescent="0.35">
      <c r="K244" s="2" t="s">
        <v>1395</v>
      </c>
      <c r="L244" s="2" t="s">
        <v>1396</v>
      </c>
      <c r="M244" s="4">
        <v>2018</v>
      </c>
      <c r="N244" s="4">
        <v>32</v>
      </c>
      <c r="O244" s="12" t="s">
        <v>1228</v>
      </c>
      <c r="P244" s="2" t="s">
        <v>1397</v>
      </c>
      <c r="Q244" s="2" t="s">
        <v>1398</v>
      </c>
      <c r="R244" s="2" t="s">
        <v>1399</v>
      </c>
      <c r="S244" s="2" t="s">
        <v>1400</v>
      </c>
    </row>
    <row r="245" spans="11:19" x14ac:dyDescent="0.35">
      <c r="K245" s="2" t="s">
        <v>1401</v>
      </c>
      <c r="L245" s="2" t="s">
        <v>1402</v>
      </c>
      <c r="M245" s="4">
        <v>2020</v>
      </c>
      <c r="N245" s="4">
        <v>16</v>
      </c>
      <c r="O245" s="12" t="s">
        <v>1228</v>
      </c>
      <c r="P245" s="2" t="s">
        <v>2123</v>
      </c>
      <c r="Q245" s="2" t="s">
        <v>1404</v>
      </c>
      <c r="R245" s="2" t="s">
        <v>1405</v>
      </c>
      <c r="S245" s="2" t="s">
        <v>1406</v>
      </c>
    </row>
    <row r="246" spans="11:19" x14ac:dyDescent="0.35">
      <c r="K246" s="2" t="s">
        <v>1407</v>
      </c>
      <c r="L246" s="2" t="s">
        <v>1408</v>
      </c>
      <c r="M246" s="4">
        <v>2019</v>
      </c>
      <c r="N246" s="4">
        <v>16</v>
      </c>
      <c r="O246" s="12" t="s">
        <v>1228</v>
      </c>
      <c r="P246" s="2" t="s">
        <v>1409</v>
      </c>
      <c r="Q246" s="2" t="s">
        <v>1410</v>
      </c>
      <c r="R246" s="2" t="s">
        <v>1411</v>
      </c>
      <c r="S246" s="2" t="s">
        <v>1412</v>
      </c>
    </row>
    <row r="247" spans="11:19" x14ac:dyDescent="0.35">
      <c r="K247" s="2" t="s">
        <v>1413</v>
      </c>
      <c r="L247" s="2" t="s">
        <v>1414</v>
      </c>
      <c r="M247" s="4">
        <v>2015</v>
      </c>
      <c r="N247" s="4">
        <v>16</v>
      </c>
      <c r="O247" s="12" t="s">
        <v>1228</v>
      </c>
      <c r="P247" s="2" t="s">
        <v>1415</v>
      </c>
      <c r="Q247" s="2" t="s">
        <v>1416</v>
      </c>
      <c r="R247" s="2" t="s">
        <v>1417</v>
      </c>
      <c r="S247" s="2" t="s">
        <v>1418</v>
      </c>
    </row>
    <row r="248" spans="11:19" x14ac:dyDescent="0.35">
      <c r="K248" s="2" t="s">
        <v>1419</v>
      </c>
      <c r="L248" s="2" t="s">
        <v>1420</v>
      </c>
      <c r="M248" s="4">
        <v>2019</v>
      </c>
      <c r="N248" s="4">
        <v>32</v>
      </c>
      <c r="O248" s="12" t="s">
        <v>1228</v>
      </c>
      <c r="P248" s="2" t="s">
        <v>2166</v>
      </c>
      <c r="Q248" s="2" t="s">
        <v>1422</v>
      </c>
      <c r="R248" s="2" t="s">
        <v>1423</v>
      </c>
      <c r="S248" s="2" t="s">
        <v>1424</v>
      </c>
    </row>
    <row r="249" spans="11:19" x14ac:dyDescent="0.35">
      <c r="K249" s="2" t="s">
        <v>1425</v>
      </c>
      <c r="L249" s="2" t="s">
        <v>1426</v>
      </c>
      <c r="M249" s="4">
        <v>2017</v>
      </c>
      <c r="N249" s="4">
        <v>40</v>
      </c>
      <c r="O249" s="12" t="s">
        <v>1228</v>
      </c>
      <c r="P249" s="2" t="s">
        <v>1427</v>
      </c>
      <c r="Q249" s="2" t="s">
        <v>1428</v>
      </c>
      <c r="R249" s="2" t="s">
        <v>1429</v>
      </c>
      <c r="S249" s="2" t="s">
        <v>1430</v>
      </c>
    </row>
    <row r="250" spans="11:19" x14ac:dyDescent="0.35">
      <c r="K250" s="2" t="s">
        <v>1431</v>
      </c>
      <c r="L250" s="2" t="s">
        <v>1432</v>
      </c>
      <c r="M250" s="4">
        <v>2021</v>
      </c>
      <c r="N250" s="4">
        <v>16</v>
      </c>
      <c r="O250" s="12" t="s">
        <v>1228</v>
      </c>
      <c r="P250" s="2" t="s">
        <v>2167</v>
      </c>
      <c r="Q250" s="2" t="s">
        <v>567</v>
      </c>
      <c r="R250" s="2" t="s">
        <v>1434</v>
      </c>
      <c r="S250" s="2" t="s">
        <v>1435</v>
      </c>
    </row>
    <row r="251" spans="11:19" x14ac:dyDescent="0.35">
      <c r="K251" s="2" t="s">
        <v>1436</v>
      </c>
      <c r="L251" s="2" t="s">
        <v>1437</v>
      </c>
      <c r="M251" s="4">
        <v>2020</v>
      </c>
      <c r="N251" s="4">
        <v>16</v>
      </c>
      <c r="O251" s="12" t="s">
        <v>1228</v>
      </c>
      <c r="P251" s="2" t="s">
        <v>1438</v>
      </c>
      <c r="Q251" s="2" t="s">
        <v>2061</v>
      </c>
      <c r="R251" s="2" t="s">
        <v>2061</v>
      </c>
      <c r="S251" s="2" t="s">
        <v>2061</v>
      </c>
    </row>
    <row r="252" spans="11:19" x14ac:dyDescent="0.35">
      <c r="K252" s="2" t="s">
        <v>1439</v>
      </c>
      <c r="L252" s="2" t="s">
        <v>1440</v>
      </c>
      <c r="M252" s="4">
        <v>2018</v>
      </c>
      <c r="N252" s="4">
        <v>16</v>
      </c>
      <c r="O252" s="12" t="s">
        <v>1228</v>
      </c>
      <c r="P252" s="2" t="s">
        <v>2124</v>
      </c>
      <c r="Q252" s="2" t="s">
        <v>1442</v>
      </c>
      <c r="R252" s="2" t="s">
        <v>1443</v>
      </c>
      <c r="S252" s="2" t="s">
        <v>1444</v>
      </c>
    </row>
    <row r="253" spans="11:19" x14ac:dyDescent="0.35">
      <c r="K253" s="2" t="s">
        <v>1445</v>
      </c>
      <c r="L253" s="2" t="s">
        <v>1446</v>
      </c>
      <c r="M253" s="4">
        <v>2022</v>
      </c>
      <c r="N253" s="4">
        <v>16</v>
      </c>
      <c r="O253" s="12" t="s">
        <v>1228</v>
      </c>
      <c r="P253" s="2" t="s">
        <v>2125</v>
      </c>
      <c r="Q253" s="2" t="s">
        <v>409</v>
      </c>
      <c r="R253" s="2" t="s">
        <v>1448</v>
      </c>
      <c r="S253" s="2" t="s">
        <v>1449</v>
      </c>
    </row>
    <row r="254" spans="11:19" x14ac:dyDescent="0.35">
      <c r="K254" s="2" t="s">
        <v>1450</v>
      </c>
      <c r="L254" s="2" t="s">
        <v>1451</v>
      </c>
      <c r="M254" s="4">
        <v>2025</v>
      </c>
      <c r="N254" s="4">
        <v>16</v>
      </c>
      <c r="O254" s="12" t="s">
        <v>1228</v>
      </c>
      <c r="P254" s="2" t="s">
        <v>1452</v>
      </c>
      <c r="Q254" s="2" t="s">
        <v>1453</v>
      </c>
      <c r="R254" s="2" t="s">
        <v>1454</v>
      </c>
      <c r="S254" s="2" t="s">
        <v>1455</v>
      </c>
    </row>
    <row r="255" spans="11:19" x14ac:dyDescent="0.35">
      <c r="K255" s="2" t="s">
        <v>1456</v>
      </c>
      <c r="L255" s="2" t="s">
        <v>1457</v>
      </c>
      <c r="M255" s="4">
        <v>2019</v>
      </c>
      <c r="N255" s="4">
        <v>16</v>
      </c>
      <c r="O255" s="12" t="s">
        <v>1228</v>
      </c>
      <c r="P255" s="2" t="s">
        <v>1458</v>
      </c>
      <c r="Q255" s="2" t="s">
        <v>1459</v>
      </c>
      <c r="R255" s="2" t="s">
        <v>1460</v>
      </c>
      <c r="S255" s="2" t="s">
        <v>1461</v>
      </c>
    </row>
    <row r="256" spans="11:19" x14ac:dyDescent="0.35">
      <c r="K256" s="2" t="s">
        <v>1462</v>
      </c>
      <c r="L256" s="2" t="s">
        <v>1463</v>
      </c>
      <c r="M256" s="4">
        <v>2016</v>
      </c>
      <c r="N256" s="4">
        <v>54</v>
      </c>
      <c r="O256" s="12" t="s">
        <v>1228</v>
      </c>
      <c r="P256" s="2" t="s">
        <v>1464</v>
      </c>
      <c r="Q256" s="2" t="s">
        <v>1465</v>
      </c>
      <c r="R256" s="2" t="s">
        <v>1466</v>
      </c>
      <c r="S256" s="2" t="s">
        <v>1467</v>
      </c>
    </row>
    <row r="257" spans="11:19" x14ac:dyDescent="0.35">
      <c r="K257" s="2" t="s">
        <v>1468</v>
      </c>
      <c r="L257" s="2" t="s">
        <v>1469</v>
      </c>
      <c r="M257" s="4">
        <v>2020</v>
      </c>
      <c r="N257" s="4">
        <v>10</v>
      </c>
      <c r="O257" s="12" t="s">
        <v>1228</v>
      </c>
      <c r="P257" s="2" t="s">
        <v>2126</v>
      </c>
      <c r="Q257" s="2" t="s">
        <v>1471</v>
      </c>
      <c r="R257" s="2" t="s">
        <v>1472</v>
      </c>
      <c r="S257" s="2" t="s">
        <v>1473</v>
      </c>
    </row>
    <row r="258" spans="11:19" x14ac:dyDescent="0.35">
      <c r="K258" s="2" t="s">
        <v>1474</v>
      </c>
      <c r="L258" s="2" t="s">
        <v>1475</v>
      </c>
      <c r="M258" s="4">
        <v>2021</v>
      </c>
      <c r="N258" s="4">
        <v>16</v>
      </c>
      <c r="O258" s="12" t="s">
        <v>1228</v>
      </c>
      <c r="P258" s="2" t="s">
        <v>2127</v>
      </c>
      <c r="Q258" s="2" t="s">
        <v>1477</v>
      </c>
      <c r="R258" s="2" t="s">
        <v>1478</v>
      </c>
      <c r="S258" s="2" t="s">
        <v>1479</v>
      </c>
    </row>
    <row r="259" spans="11:19" x14ac:dyDescent="0.35">
      <c r="K259" s="2" t="s">
        <v>1480</v>
      </c>
      <c r="L259" s="2" t="s">
        <v>1481</v>
      </c>
      <c r="M259" s="4">
        <v>2021</v>
      </c>
      <c r="N259" s="4">
        <v>16</v>
      </c>
      <c r="O259" s="12" t="s">
        <v>1228</v>
      </c>
      <c r="P259" s="2" t="s">
        <v>1482</v>
      </c>
      <c r="Q259" s="2" t="s">
        <v>1483</v>
      </c>
      <c r="R259" s="2" t="s">
        <v>1484</v>
      </c>
      <c r="S259" s="2" t="s">
        <v>1485</v>
      </c>
    </row>
    <row r="260" spans="11:19" x14ac:dyDescent="0.35">
      <c r="K260" s="2" t="s">
        <v>1486</v>
      </c>
      <c r="L260" s="2" t="s">
        <v>1487</v>
      </c>
      <c r="M260" s="4">
        <v>2014</v>
      </c>
      <c r="N260" s="4">
        <v>12</v>
      </c>
      <c r="O260" s="12" t="s">
        <v>1228</v>
      </c>
      <c r="P260" s="2" t="s">
        <v>1488</v>
      </c>
      <c r="Q260" s="2" t="s">
        <v>1003</v>
      </c>
      <c r="R260" s="2" t="s">
        <v>1489</v>
      </c>
      <c r="S260" s="2" t="s">
        <v>1490</v>
      </c>
    </row>
    <row r="261" spans="11:19" x14ac:dyDescent="0.35">
      <c r="K261" s="2" t="s">
        <v>1491</v>
      </c>
      <c r="L261" s="2" t="s">
        <v>1492</v>
      </c>
      <c r="M261" s="4">
        <v>2011</v>
      </c>
      <c r="N261" s="4">
        <v>24</v>
      </c>
      <c r="O261" s="12" t="s">
        <v>1228</v>
      </c>
      <c r="P261" s="2" t="s">
        <v>1493</v>
      </c>
      <c r="Q261" s="2" t="s">
        <v>1494</v>
      </c>
      <c r="R261" s="2" t="s">
        <v>1495</v>
      </c>
      <c r="S261" s="2" t="s">
        <v>1496</v>
      </c>
    </row>
    <row r="262" spans="11:19" x14ac:dyDescent="0.35">
      <c r="K262" s="2" t="s">
        <v>1497</v>
      </c>
      <c r="L262" s="2" t="s">
        <v>1498</v>
      </c>
      <c r="M262" s="4">
        <v>2011</v>
      </c>
      <c r="N262" s="4">
        <v>20</v>
      </c>
      <c r="O262" s="12" t="s">
        <v>1228</v>
      </c>
      <c r="P262" s="2" t="s">
        <v>1499</v>
      </c>
      <c r="Q262" s="2" t="s">
        <v>778</v>
      </c>
      <c r="R262" s="2" t="s">
        <v>1500</v>
      </c>
      <c r="S262" s="2" t="s">
        <v>1501</v>
      </c>
    </row>
    <row r="263" spans="11:19" x14ac:dyDescent="0.35">
      <c r="K263" s="2" t="s">
        <v>1502</v>
      </c>
      <c r="L263" s="2" t="s">
        <v>1503</v>
      </c>
      <c r="M263" s="4">
        <v>2015</v>
      </c>
      <c r="N263" s="4">
        <v>20</v>
      </c>
      <c r="O263" s="12" t="s">
        <v>1228</v>
      </c>
      <c r="P263" s="2" t="s">
        <v>2128</v>
      </c>
      <c r="Q263" s="2" t="s">
        <v>1505</v>
      </c>
      <c r="R263" s="2" t="s">
        <v>1506</v>
      </c>
      <c r="S263" s="2" t="s">
        <v>1507</v>
      </c>
    </row>
    <row r="264" spans="11:19" x14ac:dyDescent="0.35">
      <c r="K264" s="2" t="s">
        <v>1508</v>
      </c>
      <c r="L264" s="2" t="s">
        <v>1509</v>
      </c>
      <c r="M264" s="4">
        <v>2020</v>
      </c>
      <c r="N264" s="4">
        <v>16</v>
      </c>
      <c r="O264" s="12" t="s">
        <v>1228</v>
      </c>
      <c r="P264" s="2" t="s">
        <v>2129</v>
      </c>
      <c r="Q264" s="2" t="s">
        <v>1511</v>
      </c>
      <c r="R264" s="2" t="s">
        <v>1512</v>
      </c>
      <c r="S264" s="2" t="s">
        <v>1513</v>
      </c>
    </row>
    <row r="265" spans="11:19" x14ac:dyDescent="0.35">
      <c r="K265" s="2" t="s">
        <v>1514</v>
      </c>
      <c r="L265" s="2" t="s">
        <v>1515</v>
      </c>
      <c r="M265" s="4">
        <v>2015</v>
      </c>
      <c r="N265" s="4">
        <v>16</v>
      </c>
      <c r="O265" s="12" t="s">
        <v>1228</v>
      </c>
      <c r="P265" s="2" t="s">
        <v>1516</v>
      </c>
      <c r="Q265" s="2" t="s">
        <v>1517</v>
      </c>
      <c r="R265" s="2" t="s">
        <v>1518</v>
      </c>
      <c r="S265" s="2" t="s">
        <v>1519</v>
      </c>
    </row>
    <row r="266" spans="11:19" x14ac:dyDescent="0.35">
      <c r="K266" s="2" t="s">
        <v>1520</v>
      </c>
      <c r="L266" s="2" t="s">
        <v>1521</v>
      </c>
      <c r="M266" s="4">
        <v>2019</v>
      </c>
      <c r="N266" s="4">
        <v>16</v>
      </c>
      <c r="O266" s="12" t="s">
        <v>1228</v>
      </c>
      <c r="P266" s="2" t="s">
        <v>1522</v>
      </c>
      <c r="Q266" s="2" t="s">
        <v>1523</v>
      </c>
      <c r="R266" s="2" t="s">
        <v>1524</v>
      </c>
      <c r="S266" s="2" t="s">
        <v>1525</v>
      </c>
    </row>
    <row r="267" spans="11:19" x14ac:dyDescent="0.35">
      <c r="K267" s="2" t="s">
        <v>1526</v>
      </c>
      <c r="L267" s="2" t="s">
        <v>1527</v>
      </c>
      <c r="M267" s="4">
        <v>2021</v>
      </c>
      <c r="N267" s="4">
        <v>20</v>
      </c>
      <c r="O267" s="12" t="s">
        <v>1228</v>
      </c>
      <c r="P267" s="2" t="s">
        <v>1528</v>
      </c>
      <c r="Q267" s="2" t="s">
        <v>1529</v>
      </c>
      <c r="R267" s="2" t="s">
        <v>1530</v>
      </c>
      <c r="S267" s="2" t="s">
        <v>1531</v>
      </c>
    </row>
    <row r="268" spans="11:19" x14ac:dyDescent="0.35">
      <c r="K268" s="2" t="s">
        <v>1532</v>
      </c>
      <c r="L268" s="2" t="s">
        <v>1533</v>
      </c>
      <c r="M268" s="4">
        <v>2012</v>
      </c>
      <c r="N268" s="4">
        <v>20</v>
      </c>
      <c r="O268" s="12" t="s">
        <v>1228</v>
      </c>
      <c r="P268" s="2" t="s">
        <v>1534</v>
      </c>
      <c r="Q268" s="2" t="s">
        <v>1465</v>
      </c>
      <c r="R268" s="2" t="s">
        <v>1535</v>
      </c>
      <c r="S268" s="2" t="s">
        <v>1536</v>
      </c>
    </row>
    <row r="269" spans="11:19" x14ac:dyDescent="0.35">
      <c r="K269" s="2" t="s">
        <v>1537</v>
      </c>
      <c r="L269" s="2" t="s">
        <v>1538</v>
      </c>
      <c r="M269" s="4">
        <v>2019</v>
      </c>
      <c r="N269" s="4">
        <v>40</v>
      </c>
      <c r="O269" s="12" t="s">
        <v>1228</v>
      </c>
      <c r="P269" s="2" t="s">
        <v>1539</v>
      </c>
      <c r="Q269" s="2" t="s">
        <v>1236</v>
      </c>
      <c r="R269" s="2" t="s">
        <v>1540</v>
      </c>
      <c r="S269" s="2" t="s">
        <v>1541</v>
      </c>
    </row>
    <row r="270" spans="11:19" x14ac:dyDescent="0.35">
      <c r="K270" s="2" t="s">
        <v>1542</v>
      </c>
      <c r="L270" s="2" t="s">
        <v>1543</v>
      </c>
      <c r="M270" s="4">
        <v>2007</v>
      </c>
      <c r="N270" s="4">
        <v>17</v>
      </c>
      <c r="O270" s="12" t="s">
        <v>1228</v>
      </c>
      <c r="P270" s="2" t="s">
        <v>1544</v>
      </c>
      <c r="Q270" s="2" t="s">
        <v>1545</v>
      </c>
      <c r="R270" s="2" t="s">
        <v>1546</v>
      </c>
      <c r="S270" s="2" t="s">
        <v>1547</v>
      </c>
    </row>
    <row r="271" spans="11:19" x14ac:dyDescent="0.35">
      <c r="K271" s="2" t="s">
        <v>1548</v>
      </c>
      <c r="L271" s="2" t="s">
        <v>1549</v>
      </c>
      <c r="M271" s="4">
        <v>2012</v>
      </c>
      <c r="N271" s="4">
        <v>20</v>
      </c>
      <c r="O271" s="12" t="s">
        <v>1228</v>
      </c>
      <c r="P271" s="2" t="s">
        <v>1550</v>
      </c>
      <c r="Q271" s="2" t="s">
        <v>1551</v>
      </c>
      <c r="R271" s="2" t="s">
        <v>1552</v>
      </c>
      <c r="S271" s="2" t="s">
        <v>1553</v>
      </c>
    </row>
    <row r="272" spans="11:19" x14ac:dyDescent="0.35">
      <c r="K272" s="2" t="s">
        <v>1554</v>
      </c>
      <c r="L272" s="2" t="s">
        <v>1555</v>
      </c>
      <c r="M272" s="4">
        <v>2019</v>
      </c>
      <c r="N272" s="4">
        <v>16</v>
      </c>
      <c r="O272" s="12" t="s">
        <v>1228</v>
      </c>
      <c r="P272" s="2" t="s">
        <v>1556</v>
      </c>
      <c r="Q272" s="2" t="s">
        <v>1557</v>
      </c>
      <c r="R272" s="2" t="s">
        <v>1558</v>
      </c>
      <c r="S272" s="2" t="s">
        <v>1559</v>
      </c>
    </row>
    <row r="273" spans="11:19" x14ac:dyDescent="0.35">
      <c r="K273" s="2" t="s">
        <v>1560</v>
      </c>
      <c r="L273" s="2" t="s">
        <v>1561</v>
      </c>
      <c r="M273" s="4">
        <v>2018</v>
      </c>
      <c r="N273" s="4">
        <v>16</v>
      </c>
      <c r="O273" s="12" t="s">
        <v>1228</v>
      </c>
      <c r="P273" s="2" t="s">
        <v>1562</v>
      </c>
      <c r="Q273" s="2" t="s">
        <v>1563</v>
      </c>
      <c r="R273" s="2" t="s">
        <v>1564</v>
      </c>
      <c r="S273" s="2" t="s">
        <v>1565</v>
      </c>
    </row>
    <row r="274" spans="11:19" x14ac:dyDescent="0.35">
      <c r="K274" s="2" t="s">
        <v>1566</v>
      </c>
      <c r="L274" s="2" t="s">
        <v>1567</v>
      </c>
      <c r="M274" s="4">
        <v>2025</v>
      </c>
      <c r="N274" s="4">
        <v>12</v>
      </c>
      <c r="O274" s="12" t="s">
        <v>1228</v>
      </c>
      <c r="P274" s="2" t="s">
        <v>1568</v>
      </c>
      <c r="Q274" s="2" t="s">
        <v>1569</v>
      </c>
      <c r="R274" s="2" t="s">
        <v>1570</v>
      </c>
      <c r="S274" s="2" t="s">
        <v>1571</v>
      </c>
    </row>
    <row r="275" spans="11:19" x14ac:dyDescent="0.35">
      <c r="K275" s="2" t="s">
        <v>1572</v>
      </c>
      <c r="L275" s="2" t="s">
        <v>1573</v>
      </c>
      <c r="M275" s="4">
        <v>2015</v>
      </c>
      <c r="N275" s="4">
        <v>10</v>
      </c>
      <c r="O275" s="12" t="s">
        <v>1228</v>
      </c>
      <c r="P275" s="2" t="s">
        <v>1574</v>
      </c>
      <c r="Q275" s="2" t="s">
        <v>567</v>
      </c>
      <c r="R275" s="2" t="s">
        <v>1575</v>
      </c>
      <c r="S275" s="2" t="s">
        <v>1576</v>
      </c>
    </row>
    <row r="276" spans="11:19" x14ac:dyDescent="0.35">
      <c r="K276" s="2" t="s">
        <v>1577</v>
      </c>
      <c r="L276" s="2" t="s">
        <v>1578</v>
      </c>
      <c r="M276" s="4">
        <v>2017</v>
      </c>
      <c r="N276" s="4">
        <v>16</v>
      </c>
      <c r="O276" s="12" t="s">
        <v>1228</v>
      </c>
      <c r="P276" s="2" t="s">
        <v>1579</v>
      </c>
      <c r="Q276" s="2" t="s">
        <v>1580</v>
      </c>
      <c r="R276" s="2" t="s">
        <v>1581</v>
      </c>
      <c r="S276" s="2" t="s">
        <v>1582</v>
      </c>
    </row>
    <row r="277" spans="11:19" x14ac:dyDescent="0.35">
      <c r="K277" s="2" t="s">
        <v>1583</v>
      </c>
      <c r="L277" s="2" t="s">
        <v>1584</v>
      </c>
      <c r="M277" s="4">
        <v>2017</v>
      </c>
      <c r="N277" s="4">
        <v>20</v>
      </c>
      <c r="O277" s="12" t="s">
        <v>1228</v>
      </c>
      <c r="P277" s="2" t="s">
        <v>2130</v>
      </c>
      <c r="Q277" s="2" t="s">
        <v>1031</v>
      </c>
      <c r="R277" s="2" t="s">
        <v>1586</v>
      </c>
      <c r="S277" s="2" t="s">
        <v>1587</v>
      </c>
    </row>
    <row r="278" spans="11:19" x14ac:dyDescent="0.35">
      <c r="K278" s="2" t="s">
        <v>1588</v>
      </c>
      <c r="L278" s="2" t="s">
        <v>1589</v>
      </c>
      <c r="M278" s="4">
        <v>2016</v>
      </c>
      <c r="N278" s="4">
        <v>16</v>
      </c>
      <c r="O278" s="12" t="s">
        <v>1228</v>
      </c>
      <c r="P278" s="2" t="s">
        <v>2131</v>
      </c>
      <c r="Q278" s="2" t="s">
        <v>1591</v>
      </c>
      <c r="R278" s="2" t="s">
        <v>1592</v>
      </c>
      <c r="S278" s="2" t="s">
        <v>1593</v>
      </c>
    </row>
    <row r="279" spans="11:19" x14ac:dyDescent="0.35">
      <c r="K279" s="2" t="s">
        <v>1594</v>
      </c>
      <c r="L279" s="2" t="s">
        <v>1595</v>
      </c>
      <c r="M279" s="4">
        <v>2017</v>
      </c>
      <c r="N279" s="4">
        <v>20</v>
      </c>
      <c r="O279" s="12" t="s">
        <v>1228</v>
      </c>
      <c r="P279" s="2" t="s">
        <v>1596</v>
      </c>
      <c r="Q279" s="2" t="s">
        <v>1597</v>
      </c>
      <c r="R279" s="2" t="s">
        <v>1598</v>
      </c>
      <c r="S279" s="2" t="s">
        <v>1599</v>
      </c>
    </row>
    <row r="280" spans="11:19" x14ac:dyDescent="0.35">
      <c r="K280" s="2" t="s">
        <v>1600</v>
      </c>
      <c r="L280" s="2" t="s">
        <v>1601</v>
      </c>
      <c r="M280" s="4">
        <v>2021</v>
      </c>
      <c r="N280" s="4">
        <v>14</v>
      </c>
      <c r="O280" s="12" t="s">
        <v>1228</v>
      </c>
      <c r="P280" s="2" t="s">
        <v>2132</v>
      </c>
      <c r="Q280" s="2" t="s">
        <v>2061</v>
      </c>
      <c r="R280" s="2" t="s">
        <v>2061</v>
      </c>
      <c r="S280" s="2" t="s">
        <v>2061</v>
      </c>
    </row>
    <row r="281" spans="11:19" x14ac:dyDescent="0.35">
      <c r="K281" s="2" t="s">
        <v>1603</v>
      </c>
      <c r="L281" s="2" t="s">
        <v>1604</v>
      </c>
      <c r="M281" s="4">
        <v>2024</v>
      </c>
      <c r="N281" s="4">
        <v>14</v>
      </c>
      <c r="O281" s="12" t="s">
        <v>1228</v>
      </c>
      <c r="P281" s="2" t="s">
        <v>1605</v>
      </c>
      <c r="Q281" s="2" t="s">
        <v>1308</v>
      </c>
      <c r="R281" s="2" t="s">
        <v>1606</v>
      </c>
      <c r="S281" s="2" t="s">
        <v>1607</v>
      </c>
    </row>
    <row r="282" spans="11:19" x14ac:dyDescent="0.35">
      <c r="K282" s="2" t="s">
        <v>1608</v>
      </c>
      <c r="L282" s="2" t="s">
        <v>1609</v>
      </c>
      <c r="M282" s="4">
        <v>2023</v>
      </c>
      <c r="N282" s="4">
        <v>12</v>
      </c>
      <c r="O282" s="12" t="s">
        <v>1228</v>
      </c>
      <c r="P282" s="2" t="s">
        <v>1610</v>
      </c>
      <c r="Q282" s="2" t="s">
        <v>625</v>
      </c>
      <c r="R282" s="2" t="s">
        <v>1611</v>
      </c>
      <c r="S282" s="2" t="s">
        <v>1612</v>
      </c>
    </row>
    <row r="283" spans="11:19" x14ac:dyDescent="0.35">
      <c r="K283" s="2" t="s">
        <v>1613</v>
      </c>
      <c r="L283" s="2" t="s">
        <v>1614</v>
      </c>
      <c r="M283" s="4">
        <v>2024</v>
      </c>
      <c r="N283" s="4">
        <v>12</v>
      </c>
      <c r="O283" s="12" t="s">
        <v>1228</v>
      </c>
      <c r="P283" s="2" t="s">
        <v>2133</v>
      </c>
      <c r="Q283" s="2" t="s">
        <v>352</v>
      </c>
      <c r="R283" s="2" t="s">
        <v>1616</v>
      </c>
      <c r="S283" s="2" t="s">
        <v>1617</v>
      </c>
    </row>
    <row r="284" spans="11:19" x14ac:dyDescent="0.35">
      <c r="K284" s="2" t="s">
        <v>1618</v>
      </c>
      <c r="L284" s="2" t="s">
        <v>1619</v>
      </c>
      <c r="M284" s="4">
        <v>2023</v>
      </c>
      <c r="N284" s="4">
        <v>16</v>
      </c>
      <c r="O284" s="12" t="s">
        <v>1228</v>
      </c>
      <c r="P284" s="2" t="s">
        <v>1620</v>
      </c>
      <c r="Q284" s="2" t="s">
        <v>1093</v>
      </c>
      <c r="R284" s="2" t="s">
        <v>1621</v>
      </c>
      <c r="S284" s="2" t="s">
        <v>1622</v>
      </c>
    </row>
    <row r="285" spans="11:19" x14ac:dyDescent="0.35">
      <c r="K285" s="2" t="s">
        <v>1623</v>
      </c>
      <c r="L285" s="2" t="s">
        <v>1624</v>
      </c>
      <c r="M285" s="4">
        <v>2023</v>
      </c>
      <c r="N285" s="4">
        <v>16</v>
      </c>
      <c r="O285" s="12" t="s">
        <v>1228</v>
      </c>
      <c r="P285" s="2" t="s">
        <v>1625</v>
      </c>
      <c r="Q285" s="2" t="s">
        <v>1626</v>
      </c>
      <c r="R285" s="2" t="s">
        <v>2134</v>
      </c>
      <c r="S285" s="2" t="s">
        <v>1628</v>
      </c>
    </row>
    <row r="286" spans="11:19" x14ac:dyDescent="0.35">
      <c r="K286" s="2" t="s">
        <v>1629</v>
      </c>
      <c r="L286" s="2" t="s">
        <v>1630</v>
      </c>
      <c r="M286" s="4">
        <v>2023</v>
      </c>
      <c r="N286" s="4">
        <v>8</v>
      </c>
      <c r="O286" s="12" t="s">
        <v>1228</v>
      </c>
      <c r="P286" s="2" t="s">
        <v>1631</v>
      </c>
      <c r="Q286" s="2" t="s">
        <v>1632</v>
      </c>
      <c r="R286" s="2" t="s">
        <v>1633</v>
      </c>
      <c r="S286" s="2" t="s">
        <v>1634</v>
      </c>
    </row>
    <row r="287" spans="11:19" x14ac:dyDescent="0.35">
      <c r="K287" s="2" t="s">
        <v>1635</v>
      </c>
      <c r="L287" s="2" t="s">
        <v>1636</v>
      </c>
      <c r="M287" s="4">
        <v>2024</v>
      </c>
      <c r="N287" s="4">
        <v>16</v>
      </c>
      <c r="O287" s="12" t="s">
        <v>1228</v>
      </c>
      <c r="P287" s="2" t="s">
        <v>1637</v>
      </c>
      <c r="Q287" s="2" t="s">
        <v>1569</v>
      </c>
      <c r="R287" s="2" t="s">
        <v>1638</v>
      </c>
      <c r="S287" s="2" t="s">
        <v>1639</v>
      </c>
    </row>
    <row r="288" spans="11:19" x14ac:dyDescent="0.35">
      <c r="K288" s="2" t="s">
        <v>1640</v>
      </c>
      <c r="L288" s="2" t="s">
        <v>1641</v>
      </c>
      <c r="M288" s="4">
        <v>2023</v>
      </c>
      <c r="N288" s="4">
        <v>11</v>
      </c>
      <c r="O288" s="12" t="s">
        <v>1228</v>
      </c>
      <c r="P288" s="2" t="s">
        <v>2135</v>
      </c>
      <c r="Q288" s="2" t="s">
        <v>1643</v>
      </c>
      <c r="R288" s="2" t="s">
        <v>1644</v>
      </c>
      <c r="S288" s="2" t="s">
        <v>1645</v>
      </c>
    </row>
    <row r="289" spans="11:19" x14ac:dyDescent="0.35">
      <c r="K289" s="2" t="s">
        <v>1646</v>
      </c>
      <c r="L289" s="2" t="s">
        <v>1647</v>
      </c>
      <c r="M289" s="4">
        <v>2023</v>
      </c>
      <c r="N289" s="4">
        <v>16</v>
      </c>
      <c r="O289" s="12" t="s">
        <v>1648</v>
      </c>
      <c r="P289" s="2" t="s">
        <v>2136</v>
      </c>
      <c r="Q289" s="2" t="s">
        <v>1569</v>
      </c>
      <c r="R289" s="2" t="s">
        <v>1650</v>
      </c>
      <c r="S289" s="2" t="s">
        <v>1651</v>
      </c>
    </row>
    <row r="290" spans="11:19" x14ac:dyDescent="0.35">
      <c r="K290" s="2" t="s">
        <v>1652</v>
      </c>
      <c r="L290" s="2" t="s">
        <v>1653</v>
      </c>
      <c r="M290" s="4">
        <v>2023</v>
      </c>
      <c r="N290" s="4">
        <v>12</v>
      </c>
      <c r="O290" s="12" t="s">
        <v>1648</v>
      </c>
      <c r="P290" s="2" t="s">
        <v>1654</v>
      </c>
      <c r="Q290" s="2" t="s">
        <v>567</v>
      </c>
      <c r="R290" s="2" t="s">
        <v>1655</v>
      </c>
      <c r="S290" s="2" t="s">
        <v>1656</v>
      </c>
    </row>
    <row r="291" spans="11:19" x14ac:dyDescent="0.35">
      <c r="K291" s="2" t="s">
        <v>1657</v>
      </c>
      <c r="L291" s="2" t="s">
        <v>1658</v>
      </c>
      <c r="M291" s="4">
        <v>2023</v>
      </c>
      <c r="N291" s="4">
        <v>16</v>
      </c>
      <c r="O291" s="12" t="s">
        <v>1648</v>
      </c>
      <c r="P291" s="2" t="s">
        <v>1659</v>
      </c>
      <c r="Q291" s="2" t="s">
        <v>1660</v>
      </c>
      <c r="R291" s="2" t="s">
        <v>1661</v>
      </c>
      <c r="S291" s="2" t="s">
        <v>1662</v>
      </c>
    </row>
    <row r="292" spans="11:19" x14ac:dyDescent="0.35">
      <c r="K292" s="2" t="s">
        <v>1663</v>
      </c>
      <c r="L292" s="2" t="s">
        <v>1664</v>
      </c>
      <c r="M292" s="4">
        <v>2024</v>
      </c>
      <c r="N292" s="4">
        <v>12</v>
      </c>
      <c r="O292" s="12" t="s">
        <v>1665</v>
      </c>
      <c r="P292" s="2" t="s">
        <v>1666</v>
      </c>
      <c r="Q292" s="2" t="s">
        <v>352</v>
      </c>
      <c r="R292" s="2" t="s">
        <v>1667</v>
      </c>
      <c r="S292" s="2" t="s">
        <v>1668</v>
      </c>
    </row>
    <row r="293" spans="11:19" x14ac:dyDescent="0.35">
      <c r="K293" s="2" t="s">
        <v>1669</v>
      </c>
      <c r="L293" s="2" t="s">
        <v>1670</v>
      </c>
      <c r="M293" s="4">
        <v>2025</v>
      </c>
      <c r="N293" s="4">
        <v>12</v>
      </c>
      <c r="O293" s="12" t="s">
        <v>1665</v>
      </c>
      <c r="P293" s="2" t="s">
        <v>1671</v>
      </c>
      <c r="Q293" s="2" t="s">
        <v>807</v>
      </c>
      <c r="R293" s="2" t="s">
        <v>1672</v>
      </c>
      <c r="S293" s="2" t="s">
        <v>1673</v>
      </c>
    </row>
    <row r="294" spans="11:19" x14ac:dyDescent="0.35">
      <c r="K294" s="2" t="s">
        <v>1674</v>
      </c>
      <c r="L294" s="2" t="s">
        <v>1675</v>
      </c>
      <c r="M294" s="4">
        <v>2024</v>
      </c>
      <c r="N294" s="4">
        <v>16</v>
      </c>
      <c r="O294" s="12" t="s">
        <v>1665</v>
      </c>
      <c r="P294" s="2" t="s">
        <v>1676</v>
      </c>
      <c r="Q294" s="2" t="s">
        <v>997</v>
      </c>
      <c r="R294" s="2" t="s">
        <v>1677</v>
      </c>
      <c r="S294" s="2" t="s">
        <v>1678</v>
      </c>
    </row>
    <row r="295" spans="11:19" x14ac:dyDescent="0.35">
      <c r="K295" s="2" t="s">
        <v>1679</v>
      </c>
      <c r="L295" s="2" t="s">
        <v>1680</v>
      </c>
      <c r="M295" s="4">
        <v>2023</v>
      </c>
      <c r="N295" s="4">
        <v>20</v>
      </c>
      <c r="O295" s="12" t="s">
        <v>1665</v>
      </c>
      <c r="P295" s="2" t="s">
        <v>1681</v>
      </c>
      <c r="Q295" s="2" t="s">
        <v>1682</v>
      </c>
      <c r="R295" s="2" t="s">
        <v>1683</v>
      </c>
      <c r="S295" s="2" t="s">
        <v>1684</v>
      </c>
    </row>
    <row r="296" spans="11:19" x14ac:dyDescent="0.35">
      <c r="K296" s="2" t="s">
        <v>1685</v>
      </c>
      <c r="L296" s="2" t="s">
        <v>1686</v>
      </c>
      <c r="M296" s="4">
        <v>2023</v>
      </c>
      <c r="N296" s="4">
        <v>14</v>
      </c>
      <c r="O296" s="12" t="s">
        <v>1665</v>
      </c>
      <c r="P296" s="2" t="s">
        <v>1687</v>
      </c>
      <c r="Q296" s="2" t="s">
        <v>836</v>
      </c>
      <c r="R296" s="2" t="s">
        <v>1688</v>
      </c>
      <c r="S296" s="2" t="s">
        <v>1689</v>
      </c>
    </row>
    <row r="297" spans="11:19" x14ac:dyDescent="0.35">
      <c r="K297" s="2" t="s">
        <v>1690</v>
      </c>
      <c r="L297" s="2" t="s">
        <v>1691</v>
      </c>
      <c r="M297" s="4">
        <v>2023</v>
      </c>
      <c r="N297" s="4">
        <v>16</v>
      </c>
      <c r="O297" s="12" t="s">
        <v>1665</v>
      </c>
      <c r="P297" s="2" t="s">
        <v>1692</v>
      </c>
      <c r="Q297" s="2" t="s">
        <v>1693</v>
      </c>
      <c r="R297" s="2" t="s">
        <v>1694</v>
      </c>
      <c r="S297" s="2" t="s">
        <v>1695</v>
      </c>
    </row>
    <row r="298" spans="11:19" x14ac:dyDescent="0.35">
      <c r="K298" s="2" t="s">
        <v>1696</v>
      </c>
      <c r="L298" s="2" t="s">
        <v>1697</v>
      </c>
      <c r="M298" s="4">
        <v>2023</v>
      </c>
      <c r="N298" s="4">
        <v>18</v>
      </c>
      <c r="O298" s="12" t="s">
        <v>1665</v>
      </c>
      <c r="P298" s="2" t="s">
        <v>1698</v>
      </c>
      <c r="Q298" s="2" t="s">
        <v>1682</v>
      </c>
      <c r="R298" s="2" t="s">
        <v>1699</v>
      </c>
      <c r="S298" s="2" t="s">
        <v>1700</v>
      </c>
    </row>
    <row r="299" spans="11:19" x14ac:dyDescent="0.35">
      <c r="K299" s="2" t="s">
        <v>1701</v>
      </c>
      <c r="L299" s="2" t="s">
        <v>1702</v>
      </c>
      <c r="M299" s="4">
        <v>2025</v>
      </c>
      <c r="N299" s="4">
        <v>12</v>
      </c>
      <c r="O299" s="12">
        <v>8</v>
      </c>
      <c r="P299" s="2" t="s">
        <v>1703</v>
      </c>
      <c r="Q299" s="2" t="s">
        <v>1704</v>
      </c>
      <c r="R299" s="2" t="s">
        <v>1705</v>
      </c>
      <c r="S299" s="2" t="s">
        <v>1706</v>
      </c>
    </row>
    <row r="300" spans="11:19" x14ac:dyDescent="0.35">
      <c r="K300" s="2" t="s">
        <v>1707</v>
      </c>
      <c r="L300" s="2" t="s">
        <v>1708</v>
      </c>
      <c r="M300" s="4">
        <v>2024</v>
      </c>
      <c r="N300" s="4">
        <v>12</v>
      </c>
      <c r="O300" s="12">
        <v>8</v>
      </c>
      <c r="P300" s="2" t="s">
        <v>1709</v>
      </c>
      <c r="Q300" s="2" t="s">
        <v>1459</v>
      </c>
      <c r="R300" s="2" t="s">
        <v>1710</v>
      </c>
      <c r="S300" s="2" t="s">
        <v>1711</v>
      </c>
    </row>
    <row r="301" spans="11:19" x14ac:dyDescent="0.35">
      <c r="K301" s="2" t="s">
        <v>1712</v>
      </c>
      <c r="L301" s="2" t="s">
        <v>1713</v>
      </c>
      <c r="M301" s="4">
        <v>2024</v>
      </c>
      <c r="N301" s="4">
        <v>16</v>
      </c>
      <c r="O301" s="12">
        <v>8</v>
      </c>
      <c r="P301" s="2" t="s">
        <v>2137</v>
      </c>
      <c r="Q301" s="2" t="s">
        <v>1715</v>
      </c>
      <c r="R301" s="2" t="s">
        <v>1716</v>
      </c>
      <c r="S301" s="2" t="s">
        <v>1717</v>
      </c>
    </row>
    <row r="302" spans="11:19" x14ac:dyDescent="0.35">
      <c r="K302" s="2" t="s">
        <v>1718</v>
      </c>
      <c r="L302" s="2" t="s">
        <v>1719</v>
      </c>
      <c r="M302" s="4">
        <v>2024</v>
      </c>
      <c r="N302" s="4">
        <v>10</v>
      </c>
      <c r="O302" s="12">
        <v>8</v>
      </c>
      <c r="P302" s="2" t="s">
        <v>1720</v>
      </c>
      <c r="Q302" s="2" t="s">
        <v>1721</v>
      </c>
      <c r="R302" s="2" t="s">
        <v>1722</v>
      </c>
      <c r="S302" s="2" t="s">
        <v>1723</v>
      </c>
    </row>
    <row r="303" spans="11:19" x14ac:dyDescent="0.35">
      <c r="K303" s="2" t="s">
        <v>1724</v>
      </c>
      <c r="L303" s="2" t="s">
        <v>1725</v>
      </c>
      <c r="M303" s="4">
        <v>2024</v>
      </c>
      <c r="N303" s="4">
        <v>20</v>
      </c>
      <c r="O303" s="12">
        <v>8</v>
      </c>
      <c r="P303" s="2" t="s">
        <v>1726</v>
      </c>
      <c r="Q303" s="2" t="s">
        <v>1727</v>
      </c>
      <c r="R303" s="2" t="s">
        <v>1728</v>
      </c>
      <c r="S303" s="2" t="s">
        <v>1729</v>
      </c>
    </row>
    <row r="304" spans="11:19" x14ac:dyDescent="0.35">
      <c r="K304" s="2" t="s">
        <v>1730</v>
      </c>
      <c r="L304" s="2" t="s">
        <v>1731</v>
      </c>
      <c r="M304" s="4">
        <v>2023</v>
      </c>
      <c r="N304" s="4">
        <v>16</v>
      </c>
      <c r="O304" s="12">
        <v>8</v>
      </c>
      <c r="P304" s="2" t="s">
        <v>1732</v>
      </c>
      <c r="Q304" s="2" t="s">
        <v>1733</v>
      </c>
      <c r="R304" s="2" t="s">
        <v>1734</v>
      </c>
      <c r="S304" s="2" t="s">
        <v>1735</v>
      </c>
    </row>
    <row r="305" spans="11:19" x14ac:dyDescent="0.35">
      <c r="K305" s="2" t="s">
        <v>1736</v>
      </c>
      <c r="L305" s="2" t="s">
        <v>1737</v>
      </c>
      <c r="M305" s="4">
        <v>2024</v>
      </c>
      <c r="N305" s="4">
        <v>16</v>
      </c>
      <c r="O305" s="12" t="s">
        <v>1738</v>
      </c>
      <c r="P305" s="2" t="s">
        <v>1739</v>
      </c>
      <c r="Q305" s="2" t="s">
        <v>1105</v>
      </c>
      <c r="R305" s="2" t="s">
        <v>1740</v>
      </c>
      <c r="S305" s="2" t="s">
        <v>1741</v>
      </c>
    </row>
    <row r="306" spans="11:19" x14ac:dyDescent="0.35">
      <c r="K306" s="2" t="s">
        <v>1742</v>
      </c>
      <c r="L306" s="2" t="s">
        <v>1743</v>
      </c>
      <c r="M306" s="4">
        <v>2025</v>
      </c>
      <c r="N306" s="4">
        <v>50</v>
      </c>
      <c r="O306" s="12" t="s">
        <v>1738</v>
      </c>
      <c r="P306" s="2" t="s">
        <v>1744</v>
      </c>
      <c r="Q306" s="2" t="s">
        <v>1745</v>
      </c>
      <c r="R306" s="2" t="s">
        <v>1746</v>
      </c>
      <c r="S306" s="2" t="s">
        <v>1747</v>
      </c>
    </row>
    <row r="307" spans="11:19" x14ac:dyDescent="0.35">
      <c r="K307" s="2" t="s">
        <v>1748</v>
      </c>
      <c r="L307" s="2" t="s">
        <v>1749</v>
      </c>
      <c r="M307" s="4">
        <v>2023</v>
      </c>
      <c r="N307" s="4">
        <v>16</v>
      </c>
      <c r="O307" s="12" t="s">
        <v>1738</v>
      </c>
      <c r="P307" s="2" t="s">
        <v>1750</v>
      </c>
      <c r="Q307" s="2" t="s">
        <v>567</v>
      </c>
      <c r="R307" s="2" t="s">
        <v>1751</v>
      </c>
      <c r="S307" s="2" t="s">
        <v>1752</v>
      </c>
    </row>
    <row r="308" spans="11:19" x14ac:dyDescent="0.35">
      <c r="K308" s="2" t="s">
        <v>1753</v>
      </c>
      <c r="L308" s="2" t="s">
        <v>1754</v>
      </c>
      <c r="M308" s="4">
        <v>2023</v>
      </c>
      <c r="N308" s="4">
        <v>16</v>
      </c>
      <c r="O308" s="12" t="s">
        <v>1738</v>
      </c>
      <c r="P308" s="2" t="s">
        <v>2138</v>
      </c>
      <c r="Q308" s="2" t="s">
        <v>1756</v>
      </c>
      <c r="R308" s="2" t="s">
        <v>1757</v>
      </c>
      <c r="S308" s="2" t="s">
        <v>1758</v>
      </c>
    </row>
    <row r="309" spans="11:19" x14ac:dyDescent="0.35">
      <c r="K309" s="2" t="s">
        <v>1759</v>
      </c>
      <c r="L309" s="2" t="s">
        <v>1760</v>
      </c>
      <c r="M309" s="4">
        <v>2023</v>
      </c>
      <c r="N309" s="4">
        <v>16</v>
      </c>
      <c r="O309" s="12" t="s">
        <v>1761</v>
      </c>
      <c r="P309" s="2" t="s">
        <v>1762</v>
      </c>
      <c r="Q309" s="2" t="s">
        <v>1763</v>
      </c>
      <c r="R309" s="2" t="s">
        <v>1764</v>
      </c>
      <c r="S309" s="2" t="s">
        <v>1765</v>
      </c>
    </row>
    <row r="310" spans="11:19" x14ac:dyDescent="0.35">
      <c r="K310" s="2" t="s">
        <v>1766</v>
      </c>
      <c r="L310" s="2" t="s">
        <v>1767</v>
      </c>
      <c r="M310" s="4">
        <v>2024</v>
      </c>
      <c r="N310" s="4">
        <v>8</v>
      </c>
      <c r="O310" s="12" t="s">
        <v>1761</v>
      </c>
      <c r="P310" s="2" t="s">
        <v>1768</v>
      </c>
      <c r="Q310" s="2" t="s">
        <v>1769</v>
      </c>
      <c r="R310" s="2" t="s">
        <v>1770</v>
      </c>
      <c r="S310" s="2" t="s">
        <v>1771</v>
      </c>
    </row>
    <row r="311" spans="11:19" x14ac:dyDescent="0.35">
      <c r="K311" s="2" t="s">
        <v>1772</v>
      </c>
      <c r="L311" s="2" t="s">
        <v>1773</v>
      </c>
      <c r="M311" s="4">
        <v>2023</v>
      </c>
      <c r="N311" s="4">
        <v>12</v>
      </c>
      <c r="O311" s="12" t="s">
        <v>1761</v>
      </c>
      <c r="P311" s="2" t="s">
        <v>1774</v>
      </c>
      <c r="Q311" s="2" t="s">
        <v>284</v>
      </c>
      <c r="R311" s="2" t="s">
        <v>1775</v>
      </c>
      <c r="S311" s="2" t="s">
        <v>1776</v>
      </c>
    </row>
    <row r="312" spans="11:19" x14ac:dyDescent="0.35">
      <c r="K312" s="2" t="s">
        <v>1777</v>
      </c>
      <c r="L312" s="2" t="s">
        <v>1778</v>
      </c>
      <c r="M312" s="4">
        <v>2023</v>
      </c>
      <c r="N312" s="4">
        <v>12</v>
      </c>
      <c r="O312" s="12" t="s">
        <v>1761</v>
      </c>
      <c r="P312" s="2" t="s">
        <v>1779</v>
      </c>
      <c r="Q312" s="2" t="s">
        <v>1780</v>
      </c>
      <c r="R312" s="2" t="s">
        <v>1781</v>
      </c>
      <c r="S312" s="2" t="s">
        <v>1782</v>
      </c>
    </row>
    <row r="313" spans="11:19" x14ac:dyDescent="0.35">
      <c r="K313" s="2" t="s">
        <v>1783</v>
      </c>
      <c r="L313" s="2" t="s">
        <v>1784</v>
      </c>
      <c r="M313" s="4">
        <v>2025</v>
      </c>
      <c r="N313" s="4">
        <v>10</v>
      </c>
      <c r="O313" s="12" t="s">
        <v>1785</v>
      </c>
      <c r="P313" s="2" t="s">
        <v>1786</v>
      </c>
      <c r="Q313" s="2" t="s">
        <v>1787</v>
      </c>
      <c r="R313" s="2" t="s">
        <v>1788</v>
      </c>
      <c r="S313" s="2" t="s">
        <v>1789</v>
      </c>
    </row>
    <row r="314" spans="11:19" x14ac:dyDescent="0.35">
      <c r="K314" s="2" t="s">
        <v>1790</v>
      </c>
      <c r="L314" s="2" t="s">
        <v>1791</v>
      </c>
      <c r="M314" s="4">
        <v>2023</v>
      </c>
      <c r="N314" s="4">
        <v>12</v>
      </c>
      <c r="O314" s="12" t="s">
        <v>1785</v>
      </c>
      <c r="P314" s="2" t="s">
        <v>2168</v>
      </c>
      <c r="Q314" s="2" t="s">
        <v>1793</v>
      </c>
      <c r="R314" s="2" t="s">
        <v>1794</v>
      </c>
      <c r="S314" s="2" t="s">
        <v>1795</v>
      </c>
    </row>
    <row r="315" spans="11:19" x14ac:dyDescent="0.35">
      <c r="K315" s="2" t="s">
        <v>1796</v>
      </c>
      <c r="L315" s="2" t="s">
        <v>1797</v>
      </c>
      <c r="M315" s="4">
        <v>2024</v>
      </c>
      <c r="N315" s="4">
        <v>16</v>
      </c>
      <c r="O315" s="12" t="s">
        <v>1785</v>
      </c>
      <c r="P315" s="2" t="s">
        <v>1798</v>
      </c>
      <c r="Q315" s="2" t="s">
        <v>567</v>
      </c>
      <c r="R315" s="2" t="s">
        <v>1799</v>
      </c>
      <c r="S315" s="2" t="s">
        <v>1800</v>
      </c>
    </row>
    <row r="316" spans="11:19" x14ac:dyDescent="0.35">
      <c r="K316" s="2" t="s">
        <v>1801</v>
      </c>
      <c r="L316" s="2" t="s">
        <v>1802</v>
      </c>
      <c r="M316" s="4">
        <v>2023</v>
      </c>
      <c r="N316" s="4">
        <v>8</v>
      </c>
      <c r="O316" s="12" t="s">
        <v>1785</v>
      </c>
      <c r="P316" s="2" t="s">
        <v>2139</v>
      </c>
      <c r="Q316" s="2" t="s">
        <v>1003</v>
      </c>
      <c r="R316" s="2" t="s">
        <v>1804</v>
      </c>
      <c r="S316" s="2" t="s">
        <v>1805</v>
      </c>
    </row>
    <row r="317" spans="11:19" x14ac:dyDescent="0.35">
      <c r="K317" s="2" t="s">
        <v>1806</v>
      </c>
      <c r="L317" s="2" t="s">
        <v>1807</v>
      </c>
      <c r="M317" s="4">
        <v>2024</v>
      </c>
      <c r="N317" s="4">
        <v>7</v>
      </c>
      <c r="O317" s="12" t="s">
        <v>1785</v>
      </c>
      <c r="P317" s="2" t="s">
        <v>1808</v>
      </c>
      <c r="Q317" s="2" t="s">
        <v>1809</v>
      </c>
      <c r="R317" s="2" t="s">
        <v>1810</v>
      </c>
      <c r="S317" s="2" t="s">
        <v>1811</v>
      </c>
    </row>
    <row r="318" spans="11:19" x14ac:dyDescent="0.35">
      <c r="K318" s="2" t="s">
        <v>1812</v>
      </c>
      <c r="L318" s="2" t="s">
        <v>1813</v>
      </c>
      <c r="M318" s="4">
        <v>2023</v>
      </c>
      <c r="N318" s="4">
        <v>12</v>
      </c>
      <c r="O318" s="12" t="s">
        <v>1785</v>
      </c>
      <c r="P318" s="2" t="s">
        <v>2140</v>
      </c>
      <c r="Q318" s="2" t="s">
        <v>1815</v>
      </c>
      <c r="R318" s="2" t="s">
        <v>1816</v>
      </c>
      <c r="S318" s="2" t="s">
        <v>1817</v>
      </c>
    </row>
    <row r="319" spans="11:19" x14ac:dyDescent="0.35">
      <c r="K319" s="2" t="s">
        <v>1818</v>
      </c>
      <c r="L319" s="2" t="s">
        <v>1819</v>
      </c>
      <c r="M319" s="4">
        <v>2024</v>
      </c>
      <c r="N319" s="4">
        <v>16</v>
      </c>
      <c r="O319" s="12" t="s">
        <v>1820</v>
      </c>
      <c r="P319" s="2" t="s">
        <v>1821</v>
      </c>
      <c r="Q319" s="2" t="s">
        <v>1822</v>
      </c>
      <c r="R319" s="2" t="s">
        <v>1823</v>
      </c>
      <c r="S319" s="2" t="s">
        <v>1824</v>
      </c>
    </row>
    <row r="320" spans="11:19" x14ac:dyDescent="0.35">
      <c r="K320" s="2" t="s">
        <v>1825</v>
      </c>
      <c r="L320" s="2" t="s">
        <v>1826</v>
      </c>
      <c r="M320" s="4">
        <v>2024</v>
      </c>
      <c r="N320" s="4">
        <v>8</v>
      </c>
      <c r="O320" s="12" t="s">
        <v>1820</v>
      </c>
      <c r="P320" s="2" t="s">
        <v>1827</v>
      </c>
      <c r="Q320" s="2" t="s">
        <v>2061</v>
      </c>
      <c r="R320" s="2" t="s">
        <v>2061</v>
      </c>
      <c r="S320" s="2" t="s">
        <v>2061</v>
      </c>
    </row>
    <row r="321" spans="11:19" x14ac:dyDescent="0.35">
      <c r="K321" s="2" t="s">
        <v>1828</v>
      </c>
      <c r="L321" s="2" t="s">
        <v>1829</v>
      </c>
      <c r="M321" s="4">
        <v>2023</v>
      </c>
      <c r="N321" s="4">
        <v>16</v>
      </c>
      <c r="O321" s="12" t="s">
        <v>1820</v>
      </c>
      <c r="P321" s="2" t="s">
        <v>1830</v>
      </c>
      <c r="Q321" s="2" t="s">
        <v>1831</v>
      </c>
      <c r="R321" s="2" t="s">
        <v>1832</v>
      </c>
      <c r="S321" s="2" t="s">
        <v>1833</v>
      </c>
    </row>
    <row r="322" spans="11:19" x14ac:dyDescent="0.35">
      <c r="K322" s="2" t="s">
        <v>1834</v>
      </c>
      <c r="L322" s="2" t="s">
        <v>1835</v>
      </c>
      <c r="M322" s="4">
        <v>2024</v>
      </c>
      <c r="N322" s="4">
        <v>16</v>
      </c>
      <c r="O322" s="12" t="s">
        <v>1820</v>
      </c>
      <c r="P322" s="2" t="s">
        <v>2169</v>
      </c>
      <c r="Q322" s="2" t="s">
        <v>1837</v>
      </c>
      <c r="R322" s="2" t="s">
        <v>1838</v>
      </c>
      <c r="S322" s="2" t="s">
        <v>1839</v>
      </c>
    </row>
    <row r="323" spans="11:19" x14ac:dyDescent="0.35">
      <c r="K323" s="2" t="s">
        <v>1840</v>
      </c>
      <c r="L323" s="2" t="s">
        <v>1841</v>
      </c>
      <c r="M323" s="4">
        <v>2024</v>
      </c>
      <c r="N323" s="4">
        <v>24</v>
      </c>
      <c r="O323" s="12" t="s">
        <v>1820</v>
      </c>
      <c r="P323" s="2" t="s">
        <v>1842</v>
      </c>
      <c r="Q323" s="2" t="s">
        <v>1843</v>
      </c>
      <c r="R323" s="2" t="s">
        <v>1844</v>
      </c>
      <c r="S323" s="2" t="s">
        <v>1845</v>
      </c>
    </row>
    <row r="324" spans="11:19" x14ac:dyDescent="0.35">
      <c r="K324" s="2" t="s">
        <v>1846</v>
      </c>
      <c r="L324" s="2" t="s">
        <v>1847</v>
      </c>
      <c r="M324" s="4">
        <v>2025</v>
      </c>
      <c r="N324" s="4">
        <v>10</v>
      </c>
      <c r="O324" s="12" t="s">
        <v>1820</v>
      </c>
      <c r="P324" s="2" t="s">
        <v>1848</v>
      </c>
      <c r="Q324" s="2" t="s">
        <v>1529</v>
      </c>
      <c r="R324" s="2" t="s">
        <v>1849</v>
      </c>
      <c r="S324" s="2" t="s">
        <v>1850</v>
      </c>
    </row>
    <row r="325" spans="11:19" x14ac:dyDescent="0.35">
      <c r="K325" s="2" t="s">
        <v>1851</v>
      </c>
      <c r="L325" s="2" t="s">
        <v>1852</v>
      </c>
      <c r="M325" s="4">
        <v>2023</v>
      </c>
      <c r="N325" s="4">
        <v>10</v>
      </c>
      <c r="O325" s="12" t="s">
        <v>1820</v>
      </c>
      <c r="P325" s="2" t="s">
        <v>1853</v>
      </c>
      <c r="Q325" s="2" t="s">
        <v>1380</v>
      </c>
      <c r="R325" s="2" t="s">
        <v>1854</v>
      </c>
      <c r="S325" s="2" t="s">
        <v>1855</v>
      </c>
    </row>
    <row r="326" spans="11:19" x14ac:dyDescent="0.35">
      <c r="K326" s="2" t="s">
        <v>1856</v>
      </c>
      <c r="L326" s="2" t="s">
        <v>1857</v>
      </c>
      <c r="M326" s="4">
        <v>2023</v>
      </c>
      <c r="N326" s="4">
        <v>10</v>
      </c>
      <c r="O326" s="12" t="s">
        <v>1858</v>
      </c>
      <c r="P326" s="2" t="s">
        <v>2141</v>
      </c>
      <c r="Q326" s="2" t="s">
        <v>1860</v>
      </c>
      <c r="R326" s="2" t="s">
        <v>1861</v>
      </c>
      <c r="S326" s="2" t="s">
        <v>1862</v>
      </c>
    </row>
    <row r="327" spans="11:19" x14ac:dyDescent="0.35">
      <c r="K327" s="2" t="s">
        <v>1863</v>
      </c>
      <c r="L327" s="2" t="s">
        <v>1864</v>
      </c>
      <c r="M327" s="4">
        <v>2024</v>
      </c>
      <c r="N327" s="4">
        <v>128</v>
      </c>
      <c r="O327" s="12" t="s">
        <v>1858</v>
      </c>
      <c r="P327" s="2" t="s">
        <v>1865</v>
      </c>
      <c r="Q327" s="2" t="s">
        <v>1866</v>
      </c>
      <c r="R327" s="2" t="s">
        <v>1867</v>
      </c>
      <c r="S327" s="2" t="s">
        <v>1868</v>
      </c>
    </row>
    <row r="328" spans="11:19" x14ac:dyDescent="0.35">
      <c r="K328" s="2" t="s">
        <v>1869</v>
      </c>
      <c r="L328" s="2" t="s">
        <v>1870</v>
      </c>
      <c r="M328" s="4">
        <v>2023</v>
      </c>
      <c r="N328" s="4">
        <v>12</v>
      </c>
      <c r="O328" s="12" t="s">
        <v>1858</v>
      </c>
      <c r="P328" s="2" t="s">
        <v>1871</v>
      </c>
      <c r="Q328" s="2" t="s">
        <v>1872</v>
      </c>
      <c r="R328" s="2" t="s">
        <v>1873</v>
      </c>
      <c r="S328" s="2" t="s">
        <v>1874</v>
      </c>
    </row>
    <row r="329" spans="11:19" x14ac:dyDescent="0.35">
      <c r="K329" s="2" t="s">
        <v>1875</v>
      </c>
      <c r="L329" s="2" t="s">
        <v>1876</v>
      </c>
      <c r="M329" s="4">
        <v>2024</v>
      </c>
      <c r="N329" s="4">
        <v>16</v>
      </c>
      <c r="O329" s="12" t="s">
        <v>1858</v>
      </c>
      <c r="P329" s="2" t="s">
        <v>2142</v>
      </c>
      <c r="Q329" s="2" t="s">
        <v>1643</v>
      </c>
      <c r="R329" s="2" t="s">
        <v>1878</v>
      </c>
      <c r="S329" s="2" t="s">
        <v>1879</v>
      </c>
    </row>
    <row r="330" spans="11:19" x14ac:dyDescent="0.35">
      <c r="K330" s="2" t="s">
        <v>1880</v>
      </c>
      <c r="L330" s="2" t="s">
        <v>1881</v>
      </c>
      <c r="M330" s="4">
        <v>2024</v>
      </c>
      <c r="N330" s="4">
        <v>12</v>
      </c>
      <c r="O330" s="12" t="s">
        <v>1858</v>
      </c>
      <c r="P330" s="2" t="s">
        <v>1882</v>
      </c>
      <c r="Q330" s="2" t="s">
        <v>567</v>
      </c>
      <c r="R330" s="2" t="s">
        <v>1883</v>
      </c>
      <c r="S330" s="2" t="s">
        <v>1884</v>
      </c>
    </row>
    <row r="331" spans="11:19" x14ac:dyDescent="0.35">
      <c r="K331" s="2" t="s">
        <v>1885</v>
      </c>
      <c r="L331" s="2" t="s">
        <v>1886</v>
      </c>
      <c r="M331" s="4">
        <v>2023</v>
      </c>
      <c r="N331" s="4">
        <v>12</v>
      </c>
      <c r="O331" s="12" t="s">
        <v>1858</v>
      </c>
      <c r="P331" s="2" t="s">
        <v>1887</v>
      </c>
      <c r="Q331" s="2" t="s">
        <v>725</v>
      </c>
      <c r="R331" s="2" t="s">
        <v>1888</v>
      </c>
      <c r="S331" s="2" t="s">
        <v>1889</v>
      </c>
    </row>
    <row r="332" spans="11:19" x14ac:dyDescent="0.35">
      <c r="K332" s="2" t="s">
        <v>1890</v>
      </c>
      <c r="L332" s="2" t="s">
        <v>1891</v>
      </c>
      <c r="M332" s="4">
        <v>2024</v>
      </c>
      <c r="N332" s="4">
        <v>12</v>
      </c>
      <c r="O332" s="12" t="s">
        <v>1892</v>
      </c>
      <c r="P332" s="2" t="s">
        <v>1893</v>
      </c>
      <c r="Q332" s="2" t="s">
        <v>1894</v>
      </c>
      <c r="R332" s="2" t="s">
        <v>1895</v>
      </c>
      <c r="S332" s="2" t="s">
        <v>1896</v>
      </c>
    </row>
    <row r="333" spans="11:19" x14ac:dyDescent="0.35">
      <c r="K333" s="2" t="s">
        <v>1897</v>
      </c>
      <c r="L333" s="2" t="s">
        <v>1898</v>
      </c>
      <c r="M333" s="4">
        <v>2025</v>
      </c>
      <c r="N333" s="4">
        <v>8</v>
      </c>
      <c r="O333" s="12" t="s">
        <v>1892</v>
      </c>
      <c r="P333" s="2" t="s">
        <v>1899</v>
      </c>
      <c r="Q333" s="2" t="s">
        <v>1900</v>
      </c>
      <c r="R333" s="2" t="s">
        <v>1901</v>
      </c>
      <c r="S333" s="2" t="s">
        <v>1902</v>
      </c>
    </row>
    <row r="334" spans="11:19" x14ac:dyDescent="0.35">
      <c r="K334" s="2" t="s">
        <v>1903</v>
      </c>
      <c r="L334" s="2" t="s">
        <v>1904</v>
      </c>
      <c r="M334" s="4">
        <v>2024</v>
      </c>
      <c r="N334" s="4">
        <v>12</v>
      </c>
      <c r="O334" s="12" t="s">
        <v>1892</v>
      </c>
      <c r="P334" s="2" t="s">
        <v>2143</v>
      </c>
      <c r="Q334" s="2" t="s">
        <v>409</v>
      </c>
      <c r="R334" s="2" t="s">
        <v>1906</v>
      </c>
      <c r="S334" s="2" t="s">
        <v>1907</v>
      </c>
    </row>
    <row r="335" spans="11:19" x14ac:dyDescent="0.35">
      <c r="K335" s="2" t="s">
        <v>1908</v>
      </c>
      <c r="L335" s="2" t="s">
        <v>1909</v>
      </c>
      <c r="M335" s="4">
        <v>2024</v>
      </c>
      <c r="N335" s="4">
        <v>6</v>
      </c>
      <c r="O335" s="12" t="s">
        <v>1892</v>
      </c>
      <c r="P335" s="2" t="s">
        <v>1910</v>
      </c>
      <c r="Q335" s="2" t="s">
        <v>1551</v>
      </c>
      <c r="R335" s="2" t="s">
        <v>1911</v>
      </c>
      <c r="S335" s="2" t="s">
        <v>1912</v>
      </c>
    </row>
    <row r="336" spans="11:19" x14ac:dyDescent="0.35">
      <c r="K336" s="2" t="s">
        <v>1913</v>
      </c>
      <c r="L336" s="2" t="s">
        <v>1914</v>
      </c>
      <c r="M336" s="4">
        <v>2023</v>
      </c>
      <c r="N336" s="4">
        <v>16</v>
      </c>
      <c r="O336" s="12" t="s">
        <v>1892</v>
      </c>
      <c r="P336" s="2" t="s">
        <v>1915</v>
      </c>
      <c r="Q336" s="2" t="s">
        <v>1916</v>
      </c>
      <c r="R336" s="2" t="s">
        <v>1917</v>
      </c>
      <c r="S336" s="2" t="s">
        <v>1918</v>
      </c>
    </row>
    <row r="337" spans="11:19" x14ac:dyDescent="0.35">
      <c r="K337" s="2" t="s">
        <v>1919</v>
      </c>
      <c r="L337" s="2" t="s">
        <v>1920</v>
      </c>
      <c r="M337" s="4">
        <v>2023</v>
      </c>
      <c r="N337" s="4">
        <v>16</v>
      </c>
      <c r="O337" s="12" t="s">
        <v>1921</v>
      </c>
      <c r="P337" s="2" t="s">
        <v>2170</v>
      </c>
      <c r="Q337" s="2" t="s">
        <v>1308</v>
      </c>
      <c r="R337" s="2" t="s">
        <v>1923</v>
      </c>
      <c r="S337" s="2" t="s">
        <v>1924</v>
      </c>
    </row>
    <row r="338" spans="11:19" x14ac:dyDescent="0.35">
      <c r="K338" s="2" t="s">
        <v>1925</v>
      </c>
      <c r="L338" s="2" t="s">
        <v>1926</v>
      </c>
      <c r="M338" s="4">
        <v>2025</v>
      </c>
      <c r="N338" s="4">
        <v>12</v>
      </c>
      <c r="O338" s="12" t="s">
        <v>1921</v>
      </c>
      <c r="P338" s="2" t="s">
        <v>1927</v>
      </c>
      <c r="Q338" s="2" t="s">
        <v>1928</v>
      </c>
      <c r="R338" s="2" t="s">
        <v>1929</v>
      </c>
      <c r="S338" s="2" t="s">
        <v>1930</v>
      </c>
    </row>
    <row r="339" spans="11:19" x14ac:dyDescent="0.35">
      <c r="K339" s="2" t="s">
        <v>1931</v>
      </c>
      <c r="L339" s="2" t="s">
        <v>1932</v>
      </c>
      <c r="M339" s="4">
        <v>2024</v>
      </c>
      <c r="N339" s="4">
        <v>6</v>
      </c>
      <c r="O339" s="12" t="s">
        <v>1921</v>
      </c>
      <c r="P339" s="2" t="s">
        <v>2144</v>
      </c>
      <c r="Q339" s="2" t="s">
        <v>1934</v>
      </c>
      <c r="R339" s="2" t="s">
        <v>1935</v>
      </c>
      <c r="S339" s="2" t="s">
        <v>1936</v>
      </c>
    </row>
    <row r="340" spans="11:19" x14ac:dyDescent="0.35">
      <c r="K340" s="2" t="s">
        <v>1937</v>
      </c>
      <c r="L340" s="2" t="s">
        <v>1938</v>
      </c>
      <c r="M340" s="4">
        <v>2023</v>
      </c>
      <c r="N340" s="4">
        <v>50</v>
      </c>
      <c r="O340" s="12" t="s">
        <v>1921</v>
      </c>
      <c r="P340" s="2" t="s">
        <v>1939</v>
      </c>
      <c r="Q340" s="2" t="s">
        <v>1093</v>
      </c>
      <c r="R340" s="2" t="s">
        <v>1940</v>
      </c>
      <c r="S340" s="2" t="s">
        <v>1941</v>
      </c>
    </row>
    <row r="341" spans="11:19" x14ac:dyDescent="0.35">
      <c r="K341" s="2" t="s">
        <v>1942</v>
      </c>
      <c r="L341" s="2" t="s">
        <v>1943</v>
      </c>
      <c r="M341" s="4">
        <v>2023</v>
      </c>
      <c r="N341" s="4">
        <v>16</v>
      </c>
      <c r="O341" s="12" t="s">
        <v>1944</v>
      </c>
      <c r="P341" s="2" t="s">
        <v>1945</v>
      </c>
      <c r="Q341" s="2" t="s">
        <v>1946</v>
      </c>
      <c r="R341" s="2" t="s">
        <v>1947</v>
      </c>
      <c r="S341" s="2" t="s">
        <v>1948</v>
      </c>
    </row>
    <row r="342" spans="11:19" x14ac:dyDescent="0.35">
      <c r="K342" s="2" t="s">
        <v>1949</v>
      </c>
      <c r="L342" s="2" t="s">
        <v>1950</v>
      </c>
      <c r="M342" s="4">
        <v>2024</v>
      </c>
      <c r="N342" s="4">
        <v>16</v>
      </c>
      <c r="O342" s="12" t="s">
        <v>1944</v>
      </c>
      <c r="P342" s="2" t="s">
        <v>2171</v>
      </c>
      <c r="Q342" s="2" t="s">
        <v>1308</v>
      </c>
      <c r="R342" s="2" t="s">
        <v>1952</v>
      </c>
      <c r="S342" s="2" t="s">
        <v>1953</v>
      </c>
    </row>
    <row r="343" spans="11:19" x14ac:dyDescent="0.35">
      <c r="K343" s="2" t="s">
        <v>1954</v>
      </c>
      <c r="L343" s="2" t="s">
        <v>1955</v>
      </c>
      <c r="M343" s="4">
        <v>2024</v>
      </c>
      <c r="N343" s="4">
        <v>50</v>
      </c>
      <c r="O343" s="12" t="s">
        <v>1944</v>
      </c>
      <c r="P343" s="2" t="s">
        <v>1956</v>
      </c>
      <c r="Q343" s="2" t="s">
        <v>1957</v>
      </c>
      <c r="R343" s="2" t="s">
        <v>1958</v>
      </c>
      <c r="S343" s="2" t="s">
        <v>1959</v>
      </c>
    </row>
    <row r="344" spans="11:19" x14ac:dyDescent="0.35">
      <c r="K344" s="2" t="s">
        <v>1960</v>
      </c>
      <c r="L344" s="2" t="s">
        <v>1961</v>
      </c>
      <c r="M344" s="4">
        <v>2025</v>
      </c>
      <c r="N344" s="4">
        <v>12</v>
      </c>
      <c r="O344" s="12" t="s">
        <v>1944</v>
      </c>
      <c r="P344" s="2" t="s">
        <v>1962</v>
      </c>
      <c r="Q344" s="2" t="s">
        <v>1963</v>
      </c>
      <c r="R344" s="2" t="s">
        <v>1964</v>
      </c>
      <c r="S344" s="2" t="s">
        <v>1965</v>
      </c>
    </row>
    <row r="345" spans="11:19" x14ac:dyDescent="0.35">
      <c r="K345" s="2" t="s">
        <v>1966</v>
      </c>
      <c r="L345" s="2" t="s">
        <v>1967</v>
      </c>
      <c r="M345" s="4">
        <v>2023</v>
      </c>
      <c r="N345" s="4">
        <v>12</v>
      </c>
      <c r="O345" s="12" t="s">
        <v>1944</v>
      </c>
      <c r="P345" s="2" t="s">
        <v>2172</v>
      </c>
      <c r="Q345" s="2" t="s">
        <v>1969</v>
      </c>
      <c r="R345" s="2" t="s">
        <v>1970</v>
      </c>
      <c r="S345" s="2" t="s">
        <v>1971</v>
      </c>
    </row>
    <row r="346" spans="11:19" x14ac:dyDescent="0.35">
      <c r="K346" s="2" t="s">
        <v>1972</v>
      </c>
      <c r="L346" s="2" t="s">
        <v>1973</v>
      </c>
      <c r="M346" s="4">
        <v>2023</v>
      </c>
      <c r="N346" s="4">
        <v>12</v>
      </c>
      <c r="O346" s="12" t="s">
        <v>1944</v>
      </c>
      <c r="P346" s="2" t="s">
        <v>2145</v>
      </c>
      <c r="Q346" s="2" t="s">
        <v>1975</v>
      </c>
      <c r="R346" s="2" t="s">
        <v>1976</v>
      </c>
      <c r="S346" s="2" t="s">
        <v>1977</v>
      </c>
    </row>
    <row r="347" spans="11:19" x14ac:dyDescent="0.35">
      <c r="K347" s="2" t="s">
        <v>1978</v>
      </c>
      <c r="L347" s="2" t="s">
        <v>1979</v>
      </c>
      <c r="M347" s="4">
        <v>2024</v>
      </c>
      <c r="N347" s="4">
        <v>16</v>
      </c>
      <c r="O347" s="12" t="s">
        <v>1980</v>
      </c>
      <c r="P347" s="2" t="s">
        <v>1981</v>
      </c>
      <c r="Q347" s="2" t="s">
        <v>1569</v>
      </c>
      <c r="R347" s="2" t="s">
        <v>1982</v>
      </c>
      <c r="S347" s="2" t="s">
        <v>1983</v>
      </c>
    </row>
    <row r="348" spans="11:19" x14ac:dyDescent="0.35">
      <c r="K348" s="2" t="s">
        <v>1984</v>
      </c>
      <c r="L348" s="2" t="s">
        <v>1985</v>
      </c>
      <c r="M348" s="4">
        <v>2024</v>
      </c>
      <c r="N348" s="4">
        <v>7</v>
      </c>
      <c r="O348" s="12" t="s">
        <v>1986</v>
      </c>
      <c r="P348" s="2" t="s">
        <v>1987</v>
      </c>
      <c r="Q348" s="2" t="s">
        <v>2061</v>
      </c>
      <c r="R348" s="2" t="s">
        <v>2061</v>
      </c>
      <c r="S348" s="2" t="s">
        <v>2061</v>
      </c>
    </row>
    <row r="349" spans="11:19" x14ac:dyDescent="0.35">
      <c r="K349" s="2" t="s">
        <v>1988</v>
      </c>
      <c r="L349" s="2" t="s">
        <v>1989</v>
      </c>
      <c r="M349" s="4">
        <v>2023</v>
      </c>
      <c r="N349" s="4">
        <v>10</v>
      </c>
      <c r="O349" s="12" t="s">
        <v>1986</v>
      </c>
      <c r="P349" s="2" t="s">
        <v>2146</v>
      </c>
      <c r="Q349" s="2" t="s">
        <v>1569</v>
      </c>
      <c r="R349" s="2" t="s">
        <v>1991</v>
      </c>
      <c r="S349" s="2" t="s">
        <v>1992</v>
      </c>
    </row>
    <row r="350" spans="11:19" x14ac:dyDescent="0.35">
      <c r="K350" s="2" t="s">
        <v>1993</v>
      </c>
      <c r="L350" s="2" t="s">
        <v>1994</v>
      </c>
      <c r="M350" s="4">
        <v>2024</v>
      </c>
      <c r="N350" s="4">
        <v>16</v>
      </c>
      <c r="O350" s="12" t="s">
        <v>1986</v>
      </c>
      <c r="P350" s="2" t="s">
        <v>1995</v>
      </c>
      <c r="Q350" s="2" t="s">
        <v>1996</v>
      </c>
      <c r="R350" s="2" t="s">
        <v>1997</v>
      </c>
      <c r="S350" s="2" t="s">
        <v>1998</v>
      </c>
    </row>
    <row r="351" spans="11:19" x14ac:dyDescent="0.35">
      <c r="K351" s="2" t="s">
        <v>1999</v>
      </c>
      <c r="L351" s="2" t="s">
        <v>2000</v>
      </c>
      <c r="M351" s="4">
        <v>2024</v>
      </c>
      <c r="N351" s="4">
        <v>10</v>
      </c>
      <c r="O351" s="12" t="s">
        <v>1986</v>
      </c>
      <c r="P351" s="2" t="s">
        <v>2001</v>
      </c>
      <c r="Q351" s="2" t="s">
        <v>2002</v>
      </c>
      <c r="R351" s="2" t="s">
        <v>2003</v>
      </c>
      <c r="S351" s="2" t="s">
        <v>2004</v>
      </c>
    </row>
    <row r="352" spans="11:19" x14ac:dyDescent="0.35">
      <c r="K352" s="2" t="s">
        <v>2005</v>
      </c>
      <c r="L352" s="2" t="s">
        <v>2006</v>
      </c>
      <c r="M352" s="4">
        <v>2024</v>
      </c>
      <c r="N352" s="4">
        <v>124</v>
      </c>
      <c r="O352" s="12" t="s">
        <v>2007</v>
      </c>
      <c r="P352" s="2" t="s">
        <v>2008</v>
      </c>
      <c r="Q352" s="2" t="s">
        <v>1093</v>
      </c>
      <c r="R352" s="2" t="s">
        <v>2009</v>
      </c>
      <c r="S352" s="2" t="s">
        <v>2010</v>
      </c>
    </row>
    <row r="353" spans="11:19" x14ac:dyDescent="0.35">
      <c r="K353" s="2" t="s">
        <v>2011</v>
      </c>
      <c r="L353" s="2" t="s">
        <v>2012</v>
      </c>
      <c r="M353" s="4">
        <v>2024</v>
      </c>
      <c r="N353" s="4">
        <v>12</v>
      </c>
      <c r="O353" s="12" t="s">
        <v>2013</v>
      </c>
      <c r="P353" s="2" t="s">
        <v>2014</v>
      </c>
      <c r="Q353" s="2" t="s">
        <v>2015</v>
      </c>
      <c r="R353" s="2" t="s">
        <v>2016</v>
      </c>
      <c r="S353" s="2" t="s">
        <v>2017</v>
      </c>
    </row>
  </sheetData>
  <mergeCells count="21">
    <mergeCell ref="B1:E1"/>
    <mergeCell ref="C31:E31"/>
    <mergeCell ref="B25:E25"/>
    <mergeCell ref="C27:E27"/>
    <mergeCell ref="C35:E35"/>
    <mergeCell ref="C22:D22"/>
    <mergeCell ref="C23:D23"/>
    <mergeCell ref="C26:E26"/>
    <mergeCell ref="C30:E30"/>
    <mergeCell ref="C29:E29"/>
    <mergeCell ref="B5:E5"/>
    <mergeCell ref="B9:E9"/>
    <mergeCell ref="B3:E3"/>
    <mergeCell ref="B18:E18"/>
    <mergeCell ref="B21:E21"/>
    <mergeCell ref="C37:E37"/>
    <mergeCell ref="C28:E28"/>
    <mergeCell ref="C38:E38"/>
    <mergeCell ref="C34:E34"/>
    <mergeCell ref="B33:E33"/>
    <mergeCell ref="C36:E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kdrama_DATASET</vt:lpstr>
      <vt:lpstr>Processed_Data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Putu Bintang Permatasari</dc:creator>
  <cp:lastModifiedBy>Ni Putu Bintang Permatasari</cp:lastModifiedBy>
  <dcterms:created xsi:type="dcterms:W3CDTF">2026-02-04T15:23:21Z</dcterms:created>
  <dcterms:modified xsi:type="dcterms:W3CDTF">2026-02-05T13:57:06Z</dcterms:modified>
</cp:coreProperties>
</file>